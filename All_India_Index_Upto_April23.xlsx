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onali\Downloads\"/>
    </mc:Choice>
  </mc:AlternateContent>
  <xr:revisionPtr revIDLastSave="0" documentId="13_ncr:1_{E1FB6E03-3851-4571-80B3-5FDDF1B7BD6D}" xr6:coauthVersionLast="47" xr6:coauthVersionMax="47" xr10:uidLastSave="{00000000-0000-0000-0000-000000000000}"/>
  <bookViews>
    <workbookView xWindow="-108" yWindow="-108" windowWidth="23256" windowHeight="12456" firstSheet="2" activeTab="6" xr2:uid="{2B63D6E1-C8AD-4440-894E-2C947B9DF6E1}"/>
  </bookViews>
  <sheets>
    <sheet name="All_India_Index_Upto_April23 (1" sheetId="1" r:id="rId1"/>
    <sheet name="Food Bucket May22-23" sheetId="6" r:id="rId2"/>
    <sheet name="Onset of Covid19" sheetId="8" r:id="rId3"/>
    <sheet name="Rural+Urban 2017-23" sheetId="4" r:id="rId4"/>
    <sheet name="Oil Correl with others" sheetId="17" r:id="rId5"/>
    <sheet name="Broader Category" sheetId="3" r:id="rId6"/>
    <sheet name="DASHBOARD" sheetId="15" r:id="rId7"/>
    <sheet name="Ans5" sheetId="18" r:id="rId8"/>
    <sheet name="Ans4" sheetId="9" r:id="rId9"/>
    <sheet name="Ans3" sheetId="7" r:id="rId10"/>
    <sheet name="Ans2" sheetId="16" r:id="rId11"/>
    <sheet name="Ans1" sheetId="2" r:id="rId12"/>
  </sheets>
  <definedNames>
    <definedName name="_xlnm._FilterDatabase" localSheetId="0" hidden="1">'All_India_Index_Upto_April23 (1'!$A$1:$AD$373</definedName>
    <definedName name="_xlnm._FilterDatabase" localSheetId="1" hidden="1">'Food Bucket May22-23'!$A$1:$R$40</definedName>
    <definedName name="_xlnm._FilterDatabase" localSheetId="3" hidden="1">'Rural+Urban 2017-23'!$A$1:$AD$89</definedName>
  </definedNames>
  <calcPr calcId="191029" iterate="1"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8" i="17" l="1"/>
  <c r="AH27" i="17"/>
  <c r="AH26" i="17"/>
  <c r="AH25" i="17"/>
  <c r="AH24" i="17"/>
  <c r="AH23" i="17"/>
  <c r="AH22" i="17"/>
  <c r="AH21" i="17"/>
  <c r="AH20" i="17"/>
  <c r="AH19" i="17"/>
  <c r="AH18" i="17"/>
  <c r="AH17" i="17"/>
  <c r="AH16" i="17"/>
  <c r="AH15" i="17"/>
  <c r="AH14" i="17"/>
  <c r="AH13" i="17"/>
  <c r="AH12" i="17"/>
  <c r="AH11" i="17"/>
  <c r="AH10" i="17"/>
  <c r="AH9" i="17"/>
  <c r="AH8" i="17"/>
  <c r="AH7" i="17"/>
  <c r="AH6" i="17"/>
  <c r="AH5" i="17"/>
  <c r="AH4" i="17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" i="18"/>
  <c r="E3" i="7"/>
  <c r="G3" i="7"/>
  <c r="I7" i="16"/>
  <c r="I6" i="16"/>
  <c r="I5" i="16"/>
  <c r="I4" i="16"/>
  <c r="I3" i="16"/>
  <c r="I2" i="16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E4" i="7"/>
  <c r="E5" i="7"/>
  <c r="E6" i="7"/>
  <c r="E7" i="7"/>
  <c r="E8" i="7"/>
  <c r="G8" i="7" s="1"/>
  <c r="E9" i="7"/>
  <c r="E10" i="7"/>
  <c r="E11" i="7"/>
  <c r="E12" i="7"/>
  <c r="E13" i="7"/>
  <c r="G4" i="7"/>
  <c r="G7" i="7"/>
  <c r="G9" i="7"/>
  <c r="G10" i="7"/>
  <c r="E2" i="7"/>
  <c r="G2" i="7" s="1"/>
  <c r="U2" i="8"/>
  <c r="U3" i="8"/>
  <c r="U4" i="8"/>
  <c r="U5" i="8"/>
  <c r="U6" i="8"/>
  <c r="U7" i="8"/>
  <c r="T7" i="8"/>
  <c r="U8" i="8" s="1"/>
  <c r="U9" i="8"/>
  <c r="U10" i="8"/>
  <c r="U11" i="8"/>
  <c r="U12" i="8"/>
  <c r="U13" i="8"/>
  <c r="U14" i="8"/>
  <c r="T3" i="8"/>
  <c r="T4" i="8"/>
  <c r="T5" i="8"/>
  <c r="T6" i="8"/>
  <c r="T8" i="8"/>
  <c r="T9" i="8"/>
  <c r="T10" i="8"/>
  <c r="T11" i="8"/>
  <c r="T12" i="8"/>
  <c r="T13" i="8"/>
  <c r="T14" i="8"/>
  <c r="T2" i="8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E40" i="7"/>
  <c r="F2" i="7"/>
  <c r="F3" i="7"/>
  <c r="F4" i="7"/>
  <c r="F5" i="7"/>
  <c r="F6" i="7"/>
  <c r="F7" i="7"/>
  <c r="F8" i="7"/>
  <c r="F9" i="7"/>
  <c r="F10" i="7"/>
  <c r="F11" i="7"/>
  <c r="F12" i="7"/>
  <c r="F13" i="7"/>
  <c r="G13" i="7"/>
  <c r="G12" i="7"/>
  <c r="G11" i="7"/>
  <c r="G6" i="7"/>
  <c r="G5" i="7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3" i="6"/>
  <c r="R2" i="6"/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02798B-41BD-41E2-A541-53DFB0E41D9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C9F99F61-680C-48D0-939A-E0C38852DF82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</connections>
</file>

<file path=xl/sharedStrings.xml><?xml version="1.0" encoding="utf-8"?>
<sst xmlns="http://schemas.openxmlformats.org/spreadsheetml/2006/main" count="1890" uniqueCount="118">
  <si>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</si>
  <si>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</si>
  <si>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</si>
  <si>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</si>
  <si>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</si>
  <si>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</si>
  <si>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</si>
  <si>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</si>
  <si>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</si>
  <si>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</si>
  <si>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</si>
  <si>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</si>
  <si>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</si>
  <si>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</si>
  <si>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</si>
  <si>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</si>
  <si>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</si>
  <si>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</si>
  <si>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</si>
  <si>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</si>
  <si>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</si>
  <si>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</si>
  <si>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</si>
  <si>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</si>
  <si>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</si>
  <si>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</si>
  <si>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</si>
  <si>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</si>
  <si>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</si>
  <si>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</si>
  <si>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</si>
  <si>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</si>
  <si>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</si>
  <si>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</si>
  <si>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</si>
  <si>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</si>
  <si>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</si>
  <si>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</si>
  <si>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</si>
  <si>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</si>
  <si>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</si>
  <si>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</si>
  <si>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</si>
  <si>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</si>
  <si>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 xml:space="preserve">November </t>
  </si>
  <si>
    <t>November</t>
  </si>
  <si>
    <t>December</t>
  </si>
  <si>
    <t>Marcrh</t>
  </si>
  <si>
    <t>-</t>
  </si>
  <si>
    <t>Broader Category</t>
  </si>
  <si>
    <t>Food and Beverages</t>
  </si>
  <si>
    <t>Clothing and Footwear</t>
  </si>
  <si>
    <t>Housing and Utilities</t>
  </si>
  <si>
    <t>Energy</t>
  </si>
  <si>
    <t>Transportation</t>
  </si>
  <si>
    <t>Recreation and Personal Care</t>
  </si>
  <si>
    <t>Category</t>
  </si>
  <si>
    <t>Row Labels</t>
  </si>
  <si>
    <t>Grand Total</t>
  </si>
  <si>
    <t>Rural%</t>
  </si>
  <si>
    <t>Urban%</t>
  </si>
  <si>
    <t>Rural+Urban%</t>
  </si>
  <si>
    <t>INSIGHT-</t>
  </si>
  <si>
    <t>Food and Beverages has the highest contribution towards CPI calculation</t>
  </si>
  <si>
    <t>It contributes around 50.92% in Rural, 50.32% in Urban and 49.56% in Rural+Urban</t>
  </si>
  <si>
    <t>Insight-</t>
  </si>
  <si>
    <t>Broader Food and Beverages</t>
  </si>
  <si>
    <t>Monthly Inflation Rate</t>
  </si>
  <si>
    <t>Month Yearwise</t>
  </si>
  <si>
    <t>April2023</t>
  </si>
  <si>
    <t>August2022</t>
  </si>
  <si>
    <t>December2022</t>
  </si>
  <si>
    <t>February2023</t>
  </si>
  <si>
    <t>January2023</t>
  </si>
  <si>
    <t>July2022</t>
  </si>
  <si>
    <t>June2022</t>
  </si>
  <si>
    <t>March2023</t>
  </si>
  <si>
    <t>May2023</t>
  </si>
  <si>
    <t>November2022</t>
  </si>
  <si>
    <t>October2022</t>
  </si>
  <si>
    <t>September2022</t>
  </si>
  <si>
    <t>Monthly Inflation Rate%</t>
  </si>
  <si>
    <t>Absolute change in inflation</t>
  </si>
  <si>
    <t>Abs change in inflation</t>
  </si>
  <si>
    <t>June month of 2022 has highest change in inflation and Feb 2023 has the lowest inflation rate in the 12-month analysis</t>
  </si>
  <si>
    <t>Absolute change in Inflation in the same 12 month period</t>
  </si>
  <si>
    <t>Q3.2</t>
  </si>
  <si>
    <t>Change in Inflation in 12 month</t>
  </si>
  <si>
    <t>In Food and Beverages broader category, SPICES in the biggest individual contributor towards inflation</t>
  </si>
  <si>
    <t>Annual Inflation Rate is Calculated by a formula ((CPI at the end of that year-CPI at the start of that year)/CPI at the start of the year)*100)</t>
  </si>
  <si>
    <t>Monthly CPI rate is calculated by ((CPI of the Current month-CPI of the previous month)/CPI of the previous month)*100)</t>
  </si>
  <si>
    <t>*Calculation is done on Rural+Urban Data</t>
  </si>
  <si>
    <t>Average of Essentials</t>
  </si>
  <si>
    <t>Inflation rate monthly</t>
  </si>
  <si>
    <t>Sum of Inflation rate monthly</t>
  </si>
  <si>
    <t xml:space="preserve">Insight- </t>
  </si>
  <si>
    <t>2019 shows normal economic conditions while 2020 shows instability</t>
  </si>
  <si>
    <t>In June, the CPI rate is the highest and in Feb it is the lowest</t>
  </si>
  <si>
    <t>Significant contraction during early lockdown in Jan, Feb and March 2020</t>
  </si>
  <si>
    <t>April, May and June shows the rebound</t>
  </si>
  <si>
    <t>FoodCategory</t>
  </si>
  <si>
    <t>YEARS</t>
  </si>
  <si>
    <t>YEARLY INFLATION</t>
  </si>
  <si>
    <t>YEAR</t>
  </si>
  <si>
    <t>Insight</t>
  </si>
  <si>
    <t>India’s high inflation in 2019 was driven by supply-side food and fuel shocks rather than excess demand,</t>
  </si>
  <si>
    <t xml:space="preserve"> making it a case of cost-push inflation amid slowing growth</t>
  </si>
  <si>
    <t>ANNUAL INFLATION RATE</t>
  </si>
  <si>
    <t>MONTHWISE Change</t>
  </si>
  <si>
    <t>Monthly Change in Oil CPI</t>
  </si>
  <si>
    <t>MONTH</t>
  </si>
  <si>
    <t>Broader Food&amp;Beverages</t>
  </si>
  <si>
    <t>MONTHS</t>
  </si>
  <si>
    <t>Correlatio of Fuel and light with others</t>
  </si>
  <si>
    <t>ASSUMPTIONS-</t>
  </si>
  <si>
    <t>FOR IMPORTED OIL PRICES, I HAVE TAKEN FUEL ANF ENERGY COLUMN</t>
  </si>
  <si>
    <t>INSIGHT</t>
  </si>
  <si>
    <t>IMPORTED OIL PRICES SHOWS HIGH CORRELATION WITH MOST OF THE 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</si>
</sst>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/>
  </cellStyleXfs>
  <cellXfs count="4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8" fillId="0" borderId="0" xfId="0" applyFont="1"/>
    <xf numFmtId="164" fontId="0" fillId="0" borderId="0" xfId="0" applyNumberFormat="1"/>
    <xf numFmtId="2" fontId="0" fillId="0" borderId="0" xfId="0" applyNumberFormat="1"/>
    <xf numFmtId="10" fontId="0" fillId="33" borderId="10" xfId="0" applyNumberFormat="1" applyFill="1" applyBorder="1"/>
    <xf numFmtId="0" fontId="0" fillId="0" borderId="14" xfId="0" applyBorder="1"/>
    <xf numFmtId="0" fontId="0" fillId="34" borderId="13" xfId="0" applyFill="1" applyBorder="1"/>
    <xf numFmtId="10" fontId="0" fillId="0" borderId="14" xfId="0" applyNumberFormat="1" applyBorder="1"/>
    <xf numFmtId="0" fontId="16" fillId="0" borderId="0" xfId="0" applyFont="1"/>
    <xf numFmtId="0" fontId="19" fillId="0" borderId="0" xfId="0" applyFont="1"/>
    <xf numFmtId="0" fontId="16" fillId="0" borderId="12" xfId="0" applyFont="1" applyBorder="1"/>
    <xf numFmtId="0" fontId="16" fillId="0" borderId="15" xfId="0" applyFont="1" applyBorder="1"/>
    <xf numFmtId="0" fontId="0" fillId="0" borderId="0" xfId="0" applyAlignment="1">
      <alignment horizontal="left" indent="1"/>
    </xf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16" fillId="0" borderId="11" xfId="0" applyFont="1" applyBorder="1"/>
    <xf numFmtId="0" fontId="0" fillId="0" borderId="19" xfId="0" applyBorder="1"/>
    <xf numFmtId="0" fontId="18" fillId="0" borderId="11" xfId="0" applyFont="1" applyBorder="1"/>
    <xf numFmtId="0" fontId="18" fillId="0" borderId="12" xfId="0" applyFont="1" applyBorder="1"/>
    <xf numFmtId="0" fontId="20" fillId="35" borderId="12" xfId="0" applyFont="1" applyFill="1" applyBorder="1"/>
    <xf numFmtId="0" fontId="20" fillId="35" borderId="15" xfId="0" applyFont="1" applyFill="1" applyBorder="1"/>
    <xf numFmtId="0" fontId="18" fillId="35" borderId="10" xfId="0" applyFont="1" applyFill="1" applyBorder="1"/>
    <xf numFmtId="0" fontId="20" fillId="35" borderId="10" xfId="0" applyFont="1" applyFill="1" applyBorder="1"/>
    <xf numFmtId="0" fontId="16" fillId="35" borderId="10" xfId="0" applyFont="1" applyFill="1" applyBorder="1"/>
    <xf numFmtId="0" fontId="0" fillId="35" borderId="10" xfId="0" applyFill="1" applyBorder="1"/>
    <xf numFmtId="0" fontId="18" fillId="35" borderId="16" xfId="0" applyFont="1" applyFill="1" applyBorder="1"/>
    <xf numFmtId="0" fontId="20" fillId="35" borderId="13" xfId="0" applyFont="1" applyFill="1" applyBorder="1"/>
    <xf numFmtId="0" fontId="20" fillId="35" borderId="17" xfId="0" applyFont="1" applyFill="1" applyBorder="1"/>
    <xf numFmtId="0" fontId="0" fillId="35" borderId="20" xfId="0" applyFill="1" applyBorder="1"/>
    <xf numFmtId="0" fontId="20" fillId="35" borderId="14" xfId="0" applyFont="1" applyFill="1" applyBorder="1"/>
    <xf numFmtId="0" fontId="20" fillId="35" borderId="21" xfId="0" applyFont="1" applyFill="1" applyBorder="1"/>
    <xf numFmtId="0" fontId="16" fillId="35" borderId="12" xfId="0" applyFont="1" applyFill="1" applyBorder="1"/>
    <xf numFmtId="0" fontId="16" fillId="35" borderId="15" xfId="0" applyFont="1" applyFill="1" applyBorder="1"/>
    <xf numFmtId="0" fontId="20" fillId="35" borderId="11" xfId="0" applyFont="1" applyFill="1" applyBorder="1"/>
    <xf numFmtId="0" fontId="0" fillId="35" borderId="18" xfId="0" applyFill="1" applyBorder="1"/>
    <xf numFmtId="0" fontId="20" fillId="35" borderId="0" xfId="0" applyFont="1" applyFill="1"/>
    <xf numFmtId="0" fontId="20" fillId="35" borderId="19" xfId="0" applyFont="1" applyFill="1" applyBorder="1"/>
    <xf numFmtId="0" fontId="0" fillId="35" borderId="14" xfId="0" applyFill="1" applyBorder="1"/>
    <xf numFmtId="0" fontId="0" fillId="35" borderId="21" xfId="0" applyFill="1" applyBorder="1"/>
    <xf numFmtId="0" fontId="16" fillId="35" borderId="11" xfId="0" applyFont="1" applyFill="1" applyBorder="1"/>
    <xf numFmtId="0" fontId="20" fillId="34" borderId="12" xfId="0" applyFont="1" applyFill="1" applyBorder="1"/>
    <xf numFmtId="0" fontId="20" fillId="34" borderId="15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4" xfId="42" xr:uid="{699318BF-93F0-4B7C-84CC-8CE112C769B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fgColor theme="5" tint="0.39994506668294322"/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[All_India_Index_Upto_April23.xlsx]Ans4!PivotTable1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Trend Before and after COVID-19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'Ans4'!$B$3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'Ans4'!$A$4:$A$19</c:f>
              <c:multiLvlStrCache>
                <c:ptCount val="13"/>
                <c:lvl>
                  <c:pt idx="0">
                    <c:v>September</c:v>
                  </c:pt>
                  <c:pt idx="1">
                    <c:v>October</c:v>
                  </c:pt>
                  <c:pt idx="2">
                    <c:v>November</c:v>
                  </c:pt>
                  <c:pt idx="3">
                    <c:v>December</c:v>
                  </c:pt>
                  <c:pt idx="4">
                    <c:v>January</c:v>
                  </c:pt>
                  <c:pt idx="5">
                    <c:v>February</c:v>
                  </c:pt>
                  <c:pt idx="6">
                    <c:v>March</c:v>
                  </c:pt>
                  <c:pt idx="7">
                    <c:v>April</c:v>
                  </c:pt>
                  <c:pt idx="8">
                    <c:v>May</c:v>
                  </c:pt>
                  <c:pt idx="9">
                    <c:v>June</c:v>
                  </c:pt>
                  <c:pt idx="10">
                    <c:v>July</c:v>
                  </c:pt>
                  <c:pt idx="11">
                    <c:v>August</c:v>
                  </c:pt>
                  <c:pt idx="12">
                    <c:v>September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'Ans4'!$B$4:$B$19</c:f>
              <c:numCache>
                <c:formatCode>0.00%</c:formatCode>
                <c:ptCount val="13"/>
                <c:pt idx="0">
                  <c:v>5.6657223796032791E-3</c:v>
                </c:pt>
                <c:pt idx="1">
                  <c:v>1.3160211267605677E-2</c:v>
                </c:pt>
                <c:pt idx="2">
                  <c:v>1.207697988618126E-2</c:v>
                </c:pt>
                <c:pt idx="3">
                  <c:v>1.729836459630003E-2</c:v>
                </c:pt>
                <c:pt idx="4">
                  <c:v>-1.2236286919833524E-3</c:v>
                </c:pt>
                <c:pt idx="5">
                  <c:v>-1.1110641713489156E-2</c:v>
                </c:pt>
                <c:pt idx="6">
                  <c:v>-6.1090225563906675E-3</c:v>
                </c:pt>
                <c:pt idx="7">
                  <c:v>2.0502901353964906E-2</c:v>
                </c:pt>
                <c:pt idx="8">
                  <c:v>-1.1624968410411891E-2</c:v>
                </c:pt>
                <c:pt idx="9">
                  <c:v>2.1946646211540296E-2</c:v>
                </c:pt>
                <c:pt idx="10">
                  <c:v>0</c:v>
                </c:pt>
                <c:pt idx="11">
                  <c:v>1.4011092114590487E-2</c:v>
                </c:pt>
                <c:pt idx="12">
                  <c:v>5.5105481761730853E-3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E-4BD4-A756-DBD0150CD7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2617295"/>
        <c:axId val="224984159"/>
      </c:barChart>
      <c:catAx>
        <c:axId val="177261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984159"/>
        <c:crosses val="autoZero"/>
        <c:auto val="1"/>
        <c:lblAlgn val="ctr"/>
        <c:lblOffset val="100"/>
        <c:noMultiLvlLbl val="0"/>
      </c:catAx>
      <c:valAx>
        <c:axId val="22498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617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[All_India_Index_Upto_April23.xlsx]Ans3!PivotTable8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June 2022</a:t>
            </a:r>
            <a:r>
              <a:rPr lang="en-US" baseline="0"/>
              <a:t> has highest and Feb 2023 has lowest inflation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'Ans3'!$E$19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'Ans3'!$D$20:$D$32</c:f>
              <c:strCache>
                <c:ptCount val="12"/>
                <c:pt idx="0">
                  <c:v>February2023</c:v>
                </c:pt>
                <c:pt idx="1">
                  <c:v>December2022</c:v>
                </c:pt>
                <c:pt idx="2">
                  <c:v>November2022</c:v>
                </c:pt>
                <c:pt idx="3">
                  <c:v>March2023</c:v>
                </c:pt>
                <c:pt idx="4">
                  <c:v>August2022</c:v>
                </c:pt>
                <c:pt idx="5">
                  <c:v>July2022</c:v>
                </c:pt>
                <c:pt idx="6">
                  <c:v>January2023</c:v>
                </c:pt>
                <c:pt idx="7">
                  <c:v>April2023</c:v>
                </c:pt>
                <c:pt idx="8">
                  <c:v>September2022</c:v>
                </c:pt>
                <c:pt idx="9">
                  <c:v>October2022</c:v>
                </c:pt>
                <c:pt idx="10">
                  <c:v>May2023</c:v>
                </c:pt>
                <c:pt idx="11">
                  <c:v>June2022</c:v>
                </c:pt>
              </c:strCache>
            </c:strRef>
          </c:cat>
          <c:val>
            <c:numRef>
              <c:f>'Ans3'!$E$20:$E$32</c:f>
              <c:numCache>
                <c:formatCode>0.00</c:formatCode>
                <c:ptCount val="12"/>
                <c:pt idx="0">
                  <c:v>-0.59318707201117182</c:v>
                </c:pt>
                <c:pt idx="1">
                  <c:v>-0.58342041100662179</c:v>
                </c:pt>
                <c:pt idx="2">
                  <c:v>-2.1764680276851682E-2</c:v>
                </c:pt>
                <c:pt idx="3">
                  <c:v>4.3876968978992913E-3</c:v>
                </c:pt>
                <c:pt idx="4">
                  <c:v>0.12796187618585006</c:v>
                </c:pt>
                <c:pt idx="5">
                  <c:v>0.19452672531943327</c:v>
                </c:pt>
                <c:pt idx="6">
                  <c:v>0.40728737847069707</c:v>
                </c:pt>
                <c:pt idx="7">
                  <c:v>0.456300456300479</c:v>
                </c:pt>
                <c:pt idx="8">
                  <c:v>0.51560021152829516</c:v>
                </c:pt>
                <c:pt idx="9">
                  <c:v>0.71901442413082706</c:v>
                </c:pt>
                <c:pt idx="10">
                  <c:v>0.75559049615652807</c:v>
                </c:pt>
                <c:pt idx="11">
                  <c:v>1.0408290896095831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6C-47D5-970E-D6D85A718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5630431"/>
        <c:axId val="1185632831"/>
      </c:barChart>
      <c:catAx>
        <c:axId val="118563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632831"/>
        <c:crosses val="autoZero"/>
        <c:auto val="1"/>
        <c:lblAlgn val="ctr"/>
        <c:lblOffset val="100"/>
        <c:noMultiLvlLbl val="0"/>
      </c:catAx>
      <c:valAx>
        <c:axId val="118563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63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[All_India_Index_Upto_April23.xlsx]Ans2!PivotTable1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Y-o-Y</a:t>
            </a:r>
            <a:r>
              <a:rPr lang="en-US" baseline="0"/>
              <a:t> Inflation Rate</a:t>
            </a:r>
            <a:endParaRPr lang="en-US"/>
          </a:p>
        </c:rich>
      </c:tx>
      <c:layout>
        <c:manualLayout>
          <c:xMode val="edge"/>
          <c:yMode val="edge"/>
          <c:x val="0.26602564102564108"/>
          <c:y val="3.4843205574912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'Ans2'!$N$3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'Ans2'!$M$4:$M$10</c:f>
              <c:strCach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'Ans2'!$N$4:$N$10</c:f>
              <c:numCache>
                <c:formatCode>0.00%</c:formatCode>
                <c:ptCount val="6"/>
                <c:pt idx="0">
                  <c:v>5.295471987720627E-2</c:v>
                </c:pt>
                <c:pt idx="1">
                  <c:v>2.3374726077428697E-2</c:v>
                </c:pt>
                <c:pt idx="2">
                  <c:v>7.7363896848137617E-2</c:v>
                </c:pt>
                <c:pt idx="3">
                  <c:v>5.7922769640479481E-2</c:v>
                </c:pt>
                <c:pt idx="4">
                  <c:v>5.657978385251098E-2</c:v>
                </c:pt>
                <c:pt idx="5">
                  <c:v>6.0350030175015092E-2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7-4924-945C-B78CDDB429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80000111"/>
        <c:axId val="2079997231"/>
      </c:lineChart>
      <c:catAx>
        <c:axId val="20800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997231"/>
        <c:crosses val="autoZero"/>
        <c:auto val="1"/>
        <c:lblAlgn val="ctr"/>
        <c:lblOffset val="100"/>
        <c:noMultiLvlLbl val="0"/>
      </c:catAx>
      <c:valAx>
        <c:axId val="207999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000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[All_India_Index_Upto_April23.xlsx]Ans5!PivotTable2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M-o-M change in oil </a:t>
            </a:r>
          </a:p>
        </c:rich>
      </c:tx>
      <c:layout>
        <c:manualLayout>
          <c:xMode val="edge"/>
          <c:yMode val="edge"/>
          <c:x val="0.3724554115774898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'Ans5'!$J$4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'Ans5'!$I$5:$I$37</c:f>
              <c:multiLvlStrCache>
                <c:ptCount val="29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  <c:pt idx="24">
                    <c:v>2023</c:v>
                  </c:pt>
                </c:lvl>
              </c:multiLvlStrCache>
            </c:multiLvlStrRef>
          </c:cat>
          <c:val>
            <c:numRef>
              <c:f>'Ans5'!$J$5:$J$37</c:f>
              <c:numCache>
                <c:formatCode>0.00%</c:formatCode>
                <c:ptCount val="29"/>
                <c:pt idx="0">
                  <c:v>0</c:v>
                </c:pt>
                <c:pt idx="1">
                  <c:v>3.0425963488843813E-2</c:v>
                </c:pt>
                <c:pt idx="2">
                  <c:v>2.0341207349081326E-2</c:v>
                </c:pt>
                <c:pt idx="3">
                  <c:v>6.4308681672022071E-4</c:v>
                </c:pt>
                <c:pt idx="4">
                  <c:v>2.4421593830334265E-2</c:v>
                </c:pt>
                <c:pt idx="5">
                  <c:v>2.5094102885822186E-3</c:v>
                </c:pt>
                <c:pt idx="6">
                  <c:v>5.6320400500624356E-3</c:v>
                </c:pt>
                <c:pt idx="7">
                  <c:v>1.1823273179838244E-2</c:v>
                </c:pt>
                <c:pt idx="8">
                  <c:v>0</c:v>
                </c:pt>
                <c:pt idx="9">
                  <c:v>9.8400984009839754E-3</c:v>
                </c:pt>
                <c:pt idx="10">
                  <c:v>-1.8270401948841837E-3</c:v>
                </c:pt>
                <c:pt idx="11">
                  <c:v>1.2202562538132314E-3</c:v>
                </c:pt>
                <c:pt idx="12">
                  <c:v>6.0938452163311586E-4</c:v>
                </c:pt>
                <c:pt idx="13">
                  <c:v>9.1352009744214372E-3</c:v>
                </c:pt>
                <c:pt idx="14">
                  <c:v>9.0525045262522634E-3</c:v>
                </c:pt>
                <c:pt idx="15">
                  <c:v>2.9904306220095697E-2</c:v>
                </c:pt>
                <c:pt idx="16">
                  <c:v>1.3937282229965191E-2</c:v>
                </c:pt>
                <c:pt idx="17">
                  <c:v>8.0183276059565042E-3</c:v>
                </c:pt>
                <c:pt idx="18">
                  <c:v>2.0454545454545423E-2</c:v>
                </c:pt>
                <c:pt idx="19">
                  <c:v>-4.4543429844097048E-3</c:v>
                </c:pt>
                <c:pt idx="20">
                  <c:v>3.9149888143176093E-3</c:v>
                </c:pt>
                <c:pt idx="21">
                  <c:v>5.5710306406685237E-3</c:v>
                </c:pt>
                <c:pt idx="22">
                  <c:v>4.4321329639889825E-3</c:v>
                </c:pt>
                <c:pt idx="23">
                  <c:v>3.8610038610037982E-3</c:v>
                </c:pt>
                <c:pt idx="24">
                  <c:v>0</c:v>
                </c:pt>
                <c:pt idx="25">
                  <c:v>5.4945054945051823E-4</c:v>
                </c:pt>
                <c:pt idx="26">
                  <c:v>-1.0982976386600144E-3</c:v>
                </c:pt>
                <c:pt idx="27">
                  <c:v>-1.0995052226499013E-3</c:v>
                </c:pt>
                <c:pt idx="28">
                  <c:v>6.0539350577876877E-3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1-41CB-8E71-5C2FB5712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164239"/>
        <c:axId val="1518160879"/>
      </c:lineChart>
      <c:catAx>
        <c:axId val="151816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160879"/>
        <c:crosses val="autoZero"/>
        <c:auto val="1"/>
        <c:lblAlgn val="ctr"/>
        <c:lblOffset val="100"/>
        <c:noMultiLvlLbl val="0"/>
      </c:catAx>
      <c:valAx>
        <c:axId val="151816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16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[All_India_Index_Upto_April23.xlsx]Ans3!PivotTable3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 MONTHS TREND FOOD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'Ans3'!$B$61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multiLvlStrRef>
              <c:f>'Ans3'!$A$62:$A$76</c:f>
              <c:multiLvlStrCache>
                <c:ptCount val="12"/>
                <c:lvl>
                  <c:pt idx="0">
                    <c:v>June</c:v>
                  </c:pt>
                  <c:pt idx="1">
                    <c:v>July</c:v>
                  </c:pt>
                  <c:pt idx="2">
                    <c:v>August</c:v>
                  </c:pt>
                  <c:pt idx="3">
                    <c:v>September</c:v>
                  </c:pt>
                  <c:pt idx="4">
                    <c:v>October</c:v>
                  </c:pt>
                  <c:pt idx="5">
                    <c:v>November</c:v>
                  </c:pt>
                  <c:pt idx="6">
                    <c:v>December</c:v>
                  </c:pt>
                  <c:pt idx="7">
                    <c:v>January</c:v>
                  </c:pt>
                  <c:pt idx="8">
                    <c:v>February</c:v>
                  </c:pt>
                  <c:pt idx="9">
                    <c:v>March</c:v>
                  </c:pt>
                  <c:pt idx="10">
                    <c:v>April</c:v>
                  </c:pt>
                  <c:pt idx="11">
                    <c:v>May</c:v>
                  </c:pt>
                </c:lvl>
                <c:lvl>
                  <c:pt idx="0">
                    <c:v>2022</c:v>
                  </c:pt>
                  <c:pt idx="7">
                    <c:v>2023</c:v>
                  </c:pt>
                </c:lvl>
              </c:multiLvlStrCache>
            </c:multiLvlStrRef>
          </c:cat>
          <c:val>
            <c:numRef>
              <c:f>'Ans3'!$B$62:$B$76</c:f>
              <c:numCache>
                <c:formatCode>0.0</c:formatCode>
                <c:ptCount val="12"/>
                <c:pt idx="0">
                  <c:v>173.99230769230769</c:v>
                </c:pt>
                <c:pt idx="1">
                  <c:v>174.33076923076925</c:v>
                </c:pt>
                <c:pt idx="2">
                  <c:v>174.55384615384617</c:v>
                </c:pt>
                <c:pt idx="3">
                  <c:v>175.45384615384617</c:v>
                </c:pt>
                <c:pt idx="4">
                  <c:v>176.71538461538464</c:v>
                </c:pt>
                <c:pt idx="5">
                  <c:v>176.67692307692309</c:v>
                </c:pt>
                <c:pt idx="6">
                  <c:v>175.64615384615385</c:v>
                </c:pt>
                <c:pt idx="7">
                  <c:v>176.36153846153846</c:v>
                </c:pt>
                <c:pt idx="8">
                  <c:v>175.3153846153846</c:v>
                </c:pt>
                <c:pt idx="9">
                  <c:v>175.32307692307691</c:v>
                </c:pt>
                <c:pt idx="10">
                  <c:v>176.12307692307695</c:v>
                </c:pt>
                <c:pt idx="11">
                  <c:v>177.45384615384617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69-4E49-8BB5-068D5C4168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44980927"/>
        <c:axId val="444981407"/>
      </c:barChart>
      <c:catAx>
        <c:axId val="44498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981407"/>
        <c:crosses val="autoZero"/>
        <c:auto val="1"/>
        <c:lblAlgn val="ctr"/>
        <c:lblOffset val="100"/>
        <c:noMultiLvlLbl val="0"/>
      </c:catAx>
      <c:valAx>
        <c:axId val="44498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98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[All_India_Index_Upto_April23.xlsx]Ans5!PivotTable2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M-o-M change in oil prices</a:t>
            </a:r>
          </a:p>
        </c:rich>
      </c:tx>
      <c:layout>
        <c:manualLayout>
          <c:xMode val="edge"/>
          <c:yMode val="edge"/>
          <c:x val="0.29371522309711284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'Ans5'!$J$4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'Ans5'!$I$5:$I$37</c:f>
              <c:multiLvlStrCache>
                <c:ptCount val="29"/>
                <c:lvl>
                  <c:pt idx="0">
                    <c:v>January</c:v>
                  </c:pt>
                  <c:pt idx="1">
                    <c:v>February</c:v>
                  </c:pt>
                  <c:pt idx="2">
                    <c:v>March</c:v>
                  </c:pt>
                  <c:pt idx="3">
                    <c:v>April</c:v>
                  </c:pt>
                  <c:pt idx="4">
                    <c:v>May</c:v>
                  </c:pt>
                  <c:pt idx="5">
                    <c:v>June</c:v>
                  </c:pt>
                  <c:pt idx="6">
                    <c:v>July</c:v>
                  </c:pt>
                  <c:pt idx="7">
                    <c:v>August</c:v>
                  </c:pt>
                  <c:pt idx="8">
                    <c:v>September</c:v>
                  </c:pt>
                  <c:pt idx="9">
                    <c:v>October</c:v>
                  </c:pt>
                  <c:pt idx="10">
                    <c:v>November</c:v>
                  </c:pt>
                  <c:pt idx="11">
                    <c:v>December</c:v>
                  </c:pt>
                  <c:pt idx="12">
                    <c:v>January</c:v>
                  </c:pt>
                  <c:pt idx="13">
                    <c:v>February</c:v>
                  </c:pt>
                  <c:pt idx="14">
                    <c:v>March</c:v>
                  </c:pt>
                  <c:pt idx="15">
                    <c:v>April</c:v>
                  </c:pt>
                  <c:pt idx="16">
                    <c:v>May</c:v>
                  </c:pt>
                  <c:pt idx="17">
                    <c:v>June</c:v>
                  </c:pt>
                  <c:pt idx="18">
                    <c:v>July</c:v>
                  </c:pt>
                  <c:pt idx="19">
                    <c:v>August</c:v>
                  </c:pt>
                  <c:pt idx="20">
                    <c:v>September</c:v>
                  </c:pt>
                  <c:pt idx="21">
                    <c:v>October</c:v>
                  </c:pt>
                  <c:pt idx="22">
                    <c:v>November</c:v>
                  </c:pt>
                  <c:pt idx="23">
                    <c:v>December</c:v>
                  </c:pt>
                  <c:pt idx="24">
                    <c:v>January</c:v>
                  </c:pt>
                  <c:pt idx="25">
                    <c:v>February</c:v>
                  </c:pt>
                  <c:pt idx="26">
                    <c:v>March</c:v>
                  </c:pt>
                  <c:pt idx="27">
                    <c:v>April</c:v>
                  </c:pt>
                  <c:pt idx="28">
                    <c:v>May</c:v>
                  </c:pt>
                </c:lvl>
                <c:lvl>
                  <c:pt idx="0">
                    <c:v>2021</c:v>
                  </c:pt>
                  <c:pt idx="12">
                    <c:v>2022</c:v>
                  </c:pt>
                  <c:pt idx="24">
                    <c:v>2023</c:v>
                  </c:pt>
                </c:lvl>
              </c:multiLvlStrCache>
            </c:multiLvlStrRef>
          </c:cat>
          <c:val>
            <c:numRef>
              <c:f>'Ans5'!$J$5:$J$37</c:f>
              <c:numCache>
                <c:formatCode>0.00%</c:formatCode>
                <c:ptCount val="29"/>
                <c:pt idx="0">
                  <c:v>0</c:v>
                </c:pt>
                <c:pt idx="1">
                  <c:v>3.0425963488843813E-2</c:v>
                </c:pt>
                <c:pt idx="2">
                  <c:v>2.0341207349081326E-2</c:v>
                </c:pt>
                <c:pt idx="3">
                  <c:v>6.4308681672022071E-4</c:v>
                </c:pt>
                <c:pt idx="4">
                  <c:v>2.4421593830334265E-2</c:v>
                </c:pt>
                <c:pt idx="5">
                  <c:v>2.5094102885822186E-3</c:v>
                </c:pt>
                <c:pt idx="6">
                  <c:v>5.6320400500624356E-3</c:v>
                </c:pt>
                <c:pt idx="7">
                  <c:v>1.1823273179838244E-2</c:v>
                </c:pt>
                <c:pt idx="8">
                  <c:v>0</c:v>
                </c:pt>
                <c:pt idx="9">
                  <c:v>9.8400984009839754E-3</c:v>
                </c:pt>
                <c:pt idx="10">
                  <c:v>-1.8270401948841837E-3</c:v>
                </c:pt>
                <c:pt idx="11">
                  <c:v>1.2202562538132314E-3</c:v>
                </c:pt>
                <c:pt idx="12">
                  <c:v>6.0938452163311586E-4</c:v>
                </c:pt>
                <c:pt idx="13">
                  <c:v>9.1352009744214372E-3</c:v>
                </c:pt>
                <c:pt idx="14">
                  <c:v>9.0525045262522634E-3</c:v>
                </c:pt>
                <c:pt idx="15">
                  <c:v>2.9904306220095697E-2</c:v>
                </c:pt>
                <c:pt idx="16">
                  <c:v>1.3937282229965191E-2</c:v>
                </c:pt>
                <c:pt idx="17">
                  <c:v>8.0183276059565042E-3</c:v>
                </c:pt>
                <c:pt idx="18">
                  <c:v>2.0454545454545423E-2</c:v>
                </c:pt>
                <c:pt idx="19">
                  <c:v>-4.4543429844097048E-3</c:v>
                </c:pt>
                <c:pt idx="20">
                  <c:v>3.9149888143176093E-3</c:v>
                </c:pt>
                <c:pt idx="21">
                  <c:v>5.5710306406685237E-3</c:v>
                </c:pt>
                <c:pt idx="22">
                  <c:v>4.4321329639889825E-3</c:v>
                </c:pt>
                <c:pt idx="23">
                  <c:v>3.8610038610037982E-3</c:v>
                </c:pt>
                <c:pt idx="24">
                  <c:v>0</c:v>
                </c:pt>
                <c:pt idx="25">
                  <c:v>5.4945054945051823E-4</c:v>
                </c:pt>
                <c:pt idx="26">
                  <c:v>-1.0982976386600144E-3</c:v>
                </c:pt>
                <c:pt idx="27">
                  <c:v>-1.0995052226499013E-3</c:v>
                </c:pt>
                <c:pt idx="28">
                  <c:v>6.0539350577876877E-3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0B-4888-9B27-0AE9260DB9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164239"/>
        <c:axId val="1518160879"/>
      </c:lineChart>
      <c:catAx>
        <c:axId val="151816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160879"/>
        <c:crosses val="autoZero"/>
        <c:auto val="1"/>
        <c:lblAlgn val="ctr"/>
        <c:lblOffset val="100"/>
        <c:noMultiLvlLbl val="0"/>
      </c:catAx>
      <c:valAx>
        <c:axId val="151816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16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Trend Before and after COVID-19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'Ans4'!$B$3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'Ans4'!$A$4:$A$19</c:f>
              <c:multiLvlStrCache>
                <c:ptCount val="13"/>
                <c:lvl>
                  <c:pt idx="0">
                    <c:v>September</c:v>
                  </c:pt>
                  <c:pt idx="1">
                    <c:v>October</c:v>
                  </c:pt>
                  <c:pt idx="2">
                    <c:v>November</c:v>
                  </c:pt>
                  <c:pt idx="3">
                    <c:v>December</c:v>
                  </c:pt>
                  <c:pt idx="4">
                    <c:v>January</c:v>
                  </c:pt>
                  <c:pt idx="5">
                    <c:v>February</c:v>
                  </c:pt>
                  <c:pt idx="6">
                    <c:v>March</c:v>
                  </c:pt>
                  <c:pt idx="7">
                    <c:v>April</c:v>
                  </c:pt>
                  <c:pt idx="8">
                    <c:v>May</c:v>
                  </c:pt>
                  <c:pt idx="9">
                    <c:v>June</c:v>
                  </c:pt>
                  <c:pt idx="10">
                    <c:v>July</c:v>
                  </c:pt>
                  <c:pt idx="11">
                    <c:v>August</c:v>
                  </c:pt>
                  <c:pt idx="12">
                    <c:v>September</c:v>
                  </c:pt>
                </c:lvl>
                <c:lvl>
                  <c:pt idx="0">
                    <c:v>2019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'Ans4'!$B$4:$B$19</c:f>
              <c:numCache>
                <c:formatCode>0.00%</c:formatCode>
                <c:ptCount val="13"/>
                <c:pt idx="0">
                  <c:v>5.6657223796032791E-3</c:v>
                </c:pt>
                <c:pt idx="1">
                  <c:v>1.3160211267605677E-2</c:v>
                </c:pt>
                <c:pt idx="2">
                  <c:v>1.207697988618126E-2</c:v>
                </c:pt>
                <c:pt idx="3">
                  <c:v>1.729836459630003E-2</c:v>
                </c:pt>
                <c:pt idx="4">
                  <c:v>-1.2236286919833524E-3</c:v>
                </c:pt>
                <c:pt idx="5">
                  <c:v>-1.1110641713489156E-2</c:v>
                </c:pt>
                <c:pt idx="6">
                  <c:v>-6.1090225563906675E-3</c:v>
                </c:pt>
                <c:pt idx="7">
                  <c:v>2.0502901353964906E-2</c:v>
                </c:pt>
                <c:pt idx="8">
                  <c:v>-1.1624968410411891E-2</c:v>
                </c:pt>
                <c:pt idx="9">
                  <c:v>2.1946646211540296E-2</c:v>
                </c:pt>
                <c:pt idx="10">
                  <c:v>0</c:v>
                </c:pt>
                <c:pt idx="11">
                  <c:v>1.4011092114590487E-2</c:v>
                </c:pt>
                <c:pt idx="12">
                  <c:v>5.5105481761730853E-3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6-4FE3-9ECC-0A80D36409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72617295"/>
        <c:axId val="224984159"/>
      </c:barChart>
      <c:catAx>
        <c:axId val="177261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984159"/>
        <c:crosses val="autoZero"/>
        <c:auto val="1"/>
        <c:lblAlgn val="ctr"/>
        <c:lblOffset val="100"/>
        <c:noMultiLvlLbl val="0"/>
      </c:catAx>
      <c:valAx>
        <c:axId val="22498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617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[All_India_Index_Upto_April23.xlsx]Ans3!PivotTable8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June 2022</a:t>
            </a:r>
            <a:r>
              <a:rPr lang="en-US" baseline="0"/>
              <a:t> has highest and Feb 2023 has lowest inflation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'Ans3'!$E$19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'Ans3'!$D$20:$D$32</c:f>
              <c:strCache>
                <c:ptCount val="12"/>
                <c:pt idx="0">
                  <c:v>February2023</c:v>
                </c:pt>
                <c:pt idx="1">
                  <c:v>December2022</c:v>
                </c:pt>
                <c:pt idx="2">
                  <c:v>November2022</c:v>
                </c:pt>
                <c:pt idx="3">
                  <c:v>March2023</c:v>
                </c:pt>
                <c:pt idx="4">
                  <c:v>August2022</c:v>
                </c:pt>
                <c:pt idx="5">
                  <c:v>July2022</c:v>
                </c:pt>
                <c:pt idx="6">
                  <c:v>January2023</c:v>
                </c:pt>
                <c:pt idx="7">
                  <c:v>April2023</c:v>
                </c:pt>
                <c:pt idx="8">
                  <c:v>September2022</c:v>
                </c:pt>
                <c:pt idx="9">
                  <c:v>October2022</c:v>
                </c:pt>
                <c:pt idx="10">
                  <c:v>May2023</c:v>
                </c:pt>
                <c:pt idx="11">
                  <c:v>June2022</c:v>
                </c:pt>
              </c:strCache>
            </c:strRef>
          </c:cat>
          <c:val>
            <c:numRef>
              <c:f>'Ans3'!$E$20:$E$32</c:f>
              <c:numCache>
                <c:formatCode>0.00</c:formatCode>
                <c:ptCount val="12"/>
                <c:pt idx="0">
                  <c:v>-0.59318707201117182</c:v>
                </c:pt>
                <c:pt idx="1">
                  <c:v>-0.58342041100662179</c:v>
                </c:pt>
                <c:pt idx="2">
                  <c:v>-2.1764680276851682E-2</c:v>
                </c:pt>
                <c:pt idx="3">
                  <c:v>4.3876968978992913E-3</c:v>
                </c:pt>
                <c:pt idx="4">
                  <c:v>0.12796187618585006</c:v>
                </c:pt>
                <c:pt idx="5">
                  <c:v>0.19452672531943327</c:v>
                </c:pt>
                <c:pt idx="6">
                  <c:v>0.40728737847069707</c:v>
                </c:pt>
                <c:pt idx="7">
                  <c:v>0.456300456300479</c:v>
                </c:pt>
                <c:pt idx="8">
                  <c:v>0.51560021152829516</c:v>
                </c:pt>
                <c:pt idx="9">
                  <c:v>0.71901442413082706</c:v>
                </c:pt>
                <c:pt idx="10">
                  <c:v>0.75559049615652807</c:v>
                </c:pt>
                <c:pt idx="11">
                  <c:v>1.0408290896095831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BB-4DE8-9DFF-8D7B8FCFC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5630431"/>
        <c:axId val="1185632831"/>
      </c:barChart>
      <c:catAx>
        <c:axId val="118563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632831"/>
        <c:crosses val="autoZero"/>
        <c:auto val="1"/>
        <c:lblAlgn val="ctr"/>
        <c:lblOffset val="100"/>
        <c:noMultiLvlLbl val="0"/>
      </c:catAx>
      <c:valAx>
        <c:axId val="118563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63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</a:t>
            </a:r>
            <a:r>
              <a:rPr lang="en-US" baseline="0"/>
              <a:t> MONTHS TREND FOOD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'Ans3'!$B$61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'Ans3'!$A$62:$A$76</c:f>
              <c:multiLvlStrCache>
                <c:ptCount val="12"/>
                <c:lvl>
                  <c:pt idx="0">
                    <c:v>June</c:v>
                  </c:pt>
                  <c:pt idx="1">
                    <c:v>July</c:v>
                  </c:pt>
                  <c:pt idx="2">
                    <c:v>August</c:v>
                  </c:pt>
                  <c:pt idx="3">
                    <c:v>September</c:v>
                  </c:pt>
                  <c:pt idx="4">
                    <c:v>October</c:v>
                  </c:pt>
                  <c:pt idx="5">
                    <c:v>November</c:v>
                  </c:pt>
                  <c:pt idx="6">
                    <c:v>December</c:v>
                  </c:pt>
                  <c:pt idx="7">
                    <c:v>January</c:v>
                  </c:pt>
                  <c:pt idx="8">
                    <c:v>February</c:v>
                  </c:pt>
                  <c:pt idx="9">
                    <c:v>March</c:v>
                  </c:pt>
                  <c:pt idx="10">
                    <c:v>April</c:v>
                  </c:pt>
                  <c:pt idx="11">
                    <c:v>May</c:v>
                  </c:pt>
                </c:lvl>
                <c:lvl>
                  <c:pt idx="0">
                    <c:v>2022</c:v>
                  </c:pt>
                  <c:pt idx="7">
                    <c:v>2023</c:v>
                  </c:pt>
                </c:lvl>
              </c:multiLvlStrCache>
            </c:multiLvlStrRef>
          </c:cat>
          <c:val>
            <c:numRef>
              <c:f>'Ans3'!$B$62:$B$76</c:f>
              <c:numCache>
                <c:formatCode>0.0</c:formatCode>
                <c:ptCount val="12"/>
                <c:pt idx="0">
                  <c:v>173.99230769230769</c:v>
                </c:pt>
                <c:pt idx="1">
                  <c:v>174.33076923076925</c:v>
                </c:pt>
                <c:pt idx="2">
                  <c:v>174.55384615384617</c:v>
                </c:pt>
                <c:pt idx="3">
                  <c:v>175.45384615384617</c:v>
                </c:pt>
                <c:pt idx="4">
                  <c:v>176.71538461538464</c:v>
                </c:pt>
                <c:pt idx="5">
                  <c:v>176.67692307692309</c:v>
                </c:pt>
                <c:pt idx="6">
                  <c:v>175.64615384615385</c:v>
                </c:pt>
                <c:pt idx="7">
                  <c:v>176.36153846153846</c:v>
                </c:pt>
                <c:pt idx="8">
                  <c:v>175.3153846153846</c:v>
                </c:pt>
                <c:pt idx="9">
                  <c:v>175.32307692307691</c:v>
                </c:pt>
                <c:pt idx="10">
                  <c:v>176.12307692307695</c:v>
                </c:pt>
                <c:pt idx="11">
                  <c:v>177.45384615384617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9-4A99-8DE8-78D2813F6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4980927"/>
        <c:axId val="444981407"/>
      </c:barChart>
      <c:catAx>
        <c:axId val="44498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981407"/>
        <c:crosses val="autoZero"/>
        <c:auto val="1"/>
        <c:lblAlgn val="ctr"/>
        <c:lblOffset val="100"/>
        <c:noMultiLvlLbl val="0"/>
      </c:catAx>
      <c:valAx>
        <c:axId val="44498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98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[All_India_Index_Upto_April23.xlsx]Ans2!PivotTable1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Y-o-Y</a:t>
            </a:r>
            <a:r>
              <a:rPr lang="en-US" baseline="0"/>
              <a:t> Inflation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'Ans2'!$N$3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'Ans2'!$M$4:$M$10</c:f>
              <c:strCach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strCache>
            </c:strRef>
          </c:cat>
          <c:val>
            <c:numRef>
              <c:f>'Ans2'!$N$4:$N$10</c:f>
              <c:numCache>
                <c:formatCode>0.00%</c:formatCode>
                <c:ptCount val="6"/>
                <c:pt idx="0">
                  <c:v>5.295471987720627E-2</c:v>
                </c:pt>
                <c:pt idx="1">
                  <c:v>2.3374726077428697E-2</c:v>
                </c:pt>
                <c:pt idx="2">
                  <c:v>7.7363896848137617E-2</c:v>
                </c:pt>
                <c:pt idx="3">
                  <c:v>5.7922769640479481E-2</c:v>
                </c:pt>
                <c:pt idx="4">
                  <c:v>5.657978385251098E-2</c:v>
                </c:pt>
                <c:pt idx="5">
                  <c:v>6.0350030175015092E-2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68-4760-8461-3F2F37A2271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80000111"/>
        <c:axId val="2079997231"/>
      </c:lineChart>
      <c:catAx>
        <c:axId val="20800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997231"/>
        <c:crosses val="autoZero"/>
        <c:auto val="1"/>
        <c:lblAlgn val="ctr"/>
        <c:lblOffset val="100"/>
        <c:noMultiLvlLbl val="0"/>
      </c:catAx>
      <c:valAx>
        <c:axId val="207999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000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121920</xdr:colOff>
      <xdr:row>0</xdr:row>
      <xdr:rowOff>83820</xdr:rowOff>
    </xdr:from>
    <xdr:to>
      <xdr:col>23</xdr:col>
      <xdr:colOff>30480</xdr:colOff>
      <xdr:row>30</xdr:row>
      <xdr:rowOff>22860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10CB2F52-9A81-DD68-27BA-95917DCA0D72}"/>
            </a:ext>
          </a:extLst>
        </xdr:cNvPr>
        <xdr:cNvSpPr/>
      </xdr:nvSpPr>
      <xdr:spPr>
        <a:xfrm>
          <a:off x="121920" y="83820"/>
          <a:ext cx="13929360" cy="5425440"/>
        </a:xfrm>
        <a:prstGeom prst="roundRect">
          <a:avLst>
            <a:gd name="adj" fmla="val 4167"/>
          </a:avLst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152400</xdr:colOff>
      <xdr:row>15</xdr:row>
      <xdr:rowOff>60960</xdr:rowOff>
    </xdr:from>
    <xdr:to>
      <xdr:col>11</xdr:col>
      <xdr:colOff>396240</xdr:colOff>
      <xdr:row>30</xdr:row>
      <xdr:rowOff>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2348F9F-C154-08AD-9687-9A16A1FE67EE}"/>
            </a:ext>
          </a:extLst>
        </xdr:cNvPr>
        <xdr:cNvSpPr/>
      </xdr:nvSpPr>
      <xdr:spPr>
        <a:xfrm>
          <a:off x="152400" y="2804160"/>
          <a:ext cx="6949440" cy="2682240"/>
        </a:xfrm>
        <a:prstGeom prst="roundRect">
          <a:avLst>
            <a:gd name="adj" fmla="val 7576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426720</xdr:colOff>
      <xdr:row>15</xdr:row>
      <xdr:rowOff>68580</xdr:rowOff>
    </xdr:from>
    <xdr:to>
      <xdr:col>23</xdr:col>
      <xdr:colOff>7620</xdr:colOff>
      <xdr:row>30</xdr:row>
      <xdr:rowOff>7620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B13C6F6E-ADA4-4326-AE8D-AA112C066E9B}"/>
            </a:ext>
          </a:extLst>
        </xdr:cNvPr>
        <xdr:cNvSpPr/>
      </xdr:nvSpPr>
      <xdr:spPr>
        <a:xfrm>
          <a:off x="7132320" y="2811780"/>
          <a:ext cx="6896100" cy="2682240"/>
        </a:xfrm>
        <a:prstGeom prst="roundRect">
          <a:avLst>
            <a:gd name="adj" fmla="val 7576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167640</xdr:colOff>
      <xdr:row>2</xdr:row>
      <xdr:rowOff>129540</xdr:rowOff>
    </xdr:from>
    <xdr:to>
      <xdr:col>4</xdr:col>
      <xdr:colOff>518160</xdr:colOff>
      <xdr:row>15</xdr:row>
      <xdr:rowOff>7620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6F7EAB4-EEFB-B2A1-1893-54D6D1FF4784}"/>
            </a:ext>
          </a:extLst>
        </xdr:cNvPr>
        <xdr:cNvSpPr/>
      </xdr:nvSpPr>
      <xdr:spPr>
        <a:xfrm>
          <a:off x="167640" y="495300"/>
          <a:ext cx="2788920" cy="2255520"/>
        </a:xfrm>
        <a:prstGeom prst="roundRect">
          <a:avLst>
            <a:gd name="adj" fmla="val 68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</xdr:colOff>
      <xdr:row>2</xdr:row>
      <xdr:rowOff>129540</xdr:rowOff>
    </xdr:from>
    <xdr:to>
      <xdr:col>17</xdr:col>
      <xdr:colOff>53340</xdr:colOff>
      <xdr:row>15</xdr:row>
      <xdr:rowOff>22860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B59B9D71-2DAD-48A7-BB27-F4A60E8367D6}"/>
            </a:ext>
          </a:extLst>
        </xdr:cNvPr>
        <xdr:cNvSpPr/>
      </xdr:nvSpPr>
      <xdr:spPr>
        <a:xfrm>
          <a:off x="6774180" y="495300"/>
          <a:ext cx="3642360" cy="2270760"/>
        </a:xfrm>
        <a:prstGeom prst="roundRect">
          <a:avLst>
            <a:gd name="adj" fmla="val 5593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99060</xdr:colOff>
      <xdr:row>2</xdr:row>
      <xdr:rowOff>152400</xdr:rowOff>
    </xdr:from>
    <xdr:to>
      <xdr:col>23</xdr:col>
      <xdr:colOff>0</xdr:colOff>
      <xdr:row>15</xdr:row>
      <xdr:rowOff>38100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D78EBC5F-F083-4035-A4D8-E2BE9D1D1F24}"/>
            </a:ext>
          </a:extLst>
        </xdr:cNvPr>
        <xdr:cNvSpPr/>
      </xdr:nvSpPr>
      <xdr:spPr>
        <a:xfrm>
          <a:off x="10462260" y="518160"/>
          <a:ext cx="3558540" cy="2263140"/>
        </a:xfrm>
        <a:prstGeom prst="roundRect">
          <a:avLst>
            <a:gd name="adj" fmla="val 7576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160020</xdr:colOff>
      <xdr:row>0</xdr:row>
      <xdr:rowOff>121920</xdr:rowOff>
    </xdr:from>
    <xdr:to>
      <xdr:col>22</xdr:col>
      <xdr:colOff>563880</xdr:colOff>
      <xdr:row>2</xdr:row>
      <xdr:rowOff>99060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DC8DB5FF-82AF-B1FE-49D4-0800D6289A50}"/>
            </a:ext>
          </a:extLst>
        </xdr:cNvPr>
        <xdr:cNvSpPr/>
      </xdr:nvSpPr>
      <xdr:spPr>
        <a:xfrm>
          <a:off x="160020" y="121920"/>
          <a:ext cx="13815060" cy="342900"/>
        </a:xfrm>
        <a:prstGeom prst="roundRect">
          <a:avLst>
            <a:gd name="adj" fmla="val 5000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182880</xdr:colOff>
      <xdr:row>15</xdr:row>
      <xdr:rowOff>99060</xdr:rowOff>
    </xdr:from>
    <xdr:to>
      <xdr:col>11</xdr:col>
      <xdr:colOff>365760</xdr:colOff>
      <xdr:row>29</xdr:row>
      <xdr:rowOff>144780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2F670F1-8A94-46C0-BB18-2C84ACBC6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167640</xdr:colOff>
      <xdr:row>3</xdr:row>
      <xdr:rowOff>22860</xdr:rowOff>
    </xdr:from>
    <xdr:to>
      <xdr:col>22</xdr:col>
      <xdr:colOff>579120</xdr:colOff>
      <xdr:row>14</xdr:row>
      <xdr:rowOff>175260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345F6FC-73D8-41BE-9A36-1FE58E89B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266700</xdr:colOff>
      <xdr:row>2</xdr:row>
      <xdr:rowOff>152400</xdr:rowOff>
    </xdr:from>
    <xdr:to>
      <xdr:col>4</xdr:col>
      <xdr:colOff>441960</xdr:colOff>
      <xdr:row>14</xdr:row>
      <xdr:rowOff>160020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09CBCD1-6FF3-82C2-DEC3-B28D6A4CB8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700" y="518160"/>
          <a:ext cx="2613660" cy="2202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129540</xdr:colOff>
      <xdr:row>3</xdr:row>
      <xdr:rowOff>0</xdr:rowOff>
    </xdr:from>
    <xdr:to>
      <xdr:col>17</xdr:col>
      <xdr:colOff>38100</xdr:colOff>
      <xdr:row>14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BD141F-6353-4BE1-A3A0-7D34A831B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502920</xdr:colOff>
      <xdr:row>15</xdr:row>
      <xdr:rowOff>106680</xdr:rowOff>
    </xdr:from>
    <xdr:to>
      <xdr:col>22</xdr:col>
      <xdr:colOff>571500</xdr:colOff>
      <xdr:row>29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FC6EFE-217C-4102-88A4-4E4D52D47E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563880</xdr:colOff>
      <xdr:row>2</xdr:row>
      <xdr:rowOff>129540</xdr:rowOff>
    </xdr:from>
    <xdr:to>
      <xdr:col>11</xdr:col>
      <xdr:colOff>15240</xdr:colOff>
      <xdr:row>15</xdr:row>
      <xdr:rowOff>30480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0DDC9009-2764-40D4-4BED-132EE749603E}"/>
            </a:ext>
          </a:extLst>
        </xdr:cNvPr>
        <xdr:cNvSpPr/>
      </xdr:nvSpPr>
      <xdr:spPr>
        <a:xfrm>
          <a:off x="3002280" y="495300"/>
          <a:ext cx="3718560" cy="227838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38100</xdr:colOff>
      <xdr:row>2</xdr:row>
      <xdr:rowOff>175260</xdr:rowOff>
    </xdr:from>
    <xdr:to>
      <xdr:col>10</xdr:col>
      <xdr:colOff>502920</xdr:colOff>
      <xdr:row>15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4AAB2D-84F6-4C68-8621-14DAD0E00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0</xdr:col>
      <xdr:colOff>182881</xdr:colOff>
      <xdr:row>0</xdr:row>
      <xdr:rowOff>114300</xdr:rowOff>
    </xdr:from>
    <xdr:ext cx="13754100" cy="381000"/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1D6A685-C0B1-BD17-F9D7-57132C45C12A}"/>
            </a:ext>
          </a:extLst>
        </xdr:cNvPr>
        <xdr:cNvSpPr/>
      </xdr:nvSpPr>
      <xdr:spPr>
        <a:xfrm>
          <a:off x="182881" y="114300"/>
          <a:ext cx="13754100" cy="381000"/>
        </a:xfrm>
        <a:prstGeom prst="rect">
          <a:avLst/>
        </a:prstGeom>
        <a:noFill/>
      </xdr:spPr>
      <xdr:txBody>
        <a:bodyPr wrap="none" lIns="91440" tIns="45720" rIns="91440" bIns="45720">
          <a:noAutofit/>
        </a:bodyPr>
        <a:lstStyle/>
        <a:p>
          <a:pPr algn="ctr"/>
          <a:r>
            <a:rPr lang="en-US" sz="20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CPI</a:t>
          </a:r>
          <a:r>
            <a:rPr lang="en-US" sz="2000" b="0" cap="none" spc="0" baseline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 INFLATION ANALYSIS</a:t>
          </a:r>
          <a:endParaRPr lang="en-US" sz="20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198120</xdr:colOff>
      <xdr:row>3</xdr:row>
      <xdr:rowOff>3810</xdr:rowOff>
    </xdr:from>
    <xdr:to>
      <xdr:col>17</xdr:col>
      <xdr:colOff>502920</xdr:colOff>
      <xdr:row>18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203AE3-EBAB-BE1D-C73D-730CA7F19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1</xdr:row>
      <xdr:rowOff>163830</xdr:rowOff>
    </xdr:from>
    <xdr:to>
      <xdr:col>13</xdr:col>
      <xdr:colOff>22860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FE11CC-1DF7-1F61-B3E1-F789A8DB4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403860</xdr:colOff>
      <xdr:row>17</xdr:row>
      <xdr:rowOff>156210</xdr:rowOff>
    </xdr:from>
    <xdr:to>
      <xdr:col>10</xdr:col>
      <xdr:colOff>883920</xdr:colOff>
      <xdr:row>32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C114AE-ADAB-E2E5-419F-0433632BC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609600</xdr:colOff>
      <xdr:row>59</xdr:row>
      <xdr:rowOff>140970</xdr:rowOff>
    </xdr:from>
    <xdr:to>
      <xdr:col>6</xdr:col>
      <xdr:colOff>411480</xdr:colOff>
      <xdr:row>74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CCE124-EF8C-8F32-B277-8570AFDC2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106680</xdr:colOff>
      <xdr:row>10</xdr:row>
      <xdr:rowOff>140970</xdr:rowOff>
    </xdr:from>
    <xdr:to>
      <xdr:col>17</xdr:col>
      <xdr:colOff>251460</xdr:colOff>
      <xdr:row>25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8FF76-86C8-D1A7-57FE-D620F5CA4E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19.810203472225" createdVersion="8" refreshedVersion="8" minRefreshableVersion="3" recordCount="26" xr:uid="{DD84C720-01AB-447A-B26A-C40B885C489A}">
  <cacheSource type="worksheet">
    <worksheetSource ref="A1:E27" sheet="Ans1"/>
  </cacheSource>
  <cacheFields count="5">
    <cacheField name="Sector" numFmtId="0">
      <sharedItems/>
    </cacheField>
    <cacheField name="Rural" numFmtId="0">
      <sharedItems containsMixedTypes="1" containsNumber="1" minValue="121.9" maxValue="221"/>
    </cacheField>
    <cacheField name="Urban" numFmtId="0">
      <sharedItems containsSemiMixedTypes="0" containsString="0" containsNumber="1" minValue="124.2" maxValue="219.4"/>
    </cacheField>
    <cacheField name="Rural+Urban" numFmtId="0">
      <sharedItems containsSemiMixedTypes="0" containsString="0" containsNumber="1" minValue="122.7" maxValue="218"/>
    </cacheField>
    <cacheField name="Category" numFmtId="0">
      <sharedItems count="10">
        <s v="Food and Beverages"/>
        <s v="Pan, tobacco and intoxicants"/>
        <s v="Clothing and Footwear"/>
        <s v="Housing and Utilities"/>
        <s v="Energy"/>
        <s v="Health"/>
        <s v="Transportation"/>
        <s v="Recreation and Personal Care"/>
        <s v="Education"/>
        <s v="Miscellaneou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19.907124999998" createdVersion="8" refreshedVersion="8" minRefreshableVersion="3" recordCount="12" xr:uid="{B9A45DD2-279E-4558-8273-1A0E8EC87E8D}">
  <cacheSource type="worksheet">
    <worksheetSource ref="A1:F13" sheet="Ans3"/>
  </cacheSource>
  <cacheFields count="6">
    <cacheField name="Sector" numFmtId="0">
      <sharedItems/>
    </cacheField>
    <cacheField name="Year" numFmtId="0">
      <sharedItems containsSemiMixedTypes="0" containsString="0" containsNumber="1" containsInteger="1" minValue="2022" maxValue="2023"/>
    </cacheField>
    <cacheField name="Month" numFmtId="0">
      <sharedItems/>
    </cacheField>
    <cacheField name="Broader Food and Beverages" numFmtId="164">
      <sharedItems containsSemiMixedTypes="0" containsString="0" containsNumber="1" minValue="173.99230769230769" maxValue="177.45384615384617"/>
    </cacheField>
    <cacheField name="Monthly Inflation Rate" numFmtId="2">
      <sharedItems containsSemiMixedTypes="0" containsString="0" containsNumber="1" minValue="-0.59318707201117182" maxValue="1.0408290896095831"/>
    </cacheField>
    <cacheField name="Month Yearwise" numFmtId="0">
      <sharedItems count="12">
        <s v="June2022"/>
        <s v="July2022"/>
        <s v="August2022"/>
        <s v="September2022"/>
        <s v="October2022"/>
        <s v="November2022"/>
        <s v="December2022"/>
        <s v="January2023"/>
        <s v="February2023"/>
        <s v="March2023"/>
        <s v="April2023"/>
        <s v="May202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19.926874652781" createdVersion="8" refreshedVersion="8" minRefreshableVersion="3" recordCount="12" xr:uid="{33C5544B-1C58-4E54-B960-CD9EE273719D}">
  <cacheSource type="worksheet">
    <worksheetSource ref="A1:G13" sheet="Ans3"/>
  </cacheSource>
  <cacheFields count="7">
    <cacheField name="Sector" numFmtId="0">
      <sharedItems/>
    </cacheField>
    <cacheField name="Year" numFmtId="0">
      <sharedItems containsSemiMixedTypes="0" containsString="0" containsNumber="1" containsInteger="1" minValue="2022" maxValue="2023"/>
    </cacheField>
    <cacheField name="Month" numFmtId="0">
      <sharedItems/>
    </cacheField>
    <cacheField name="Broader Food and Beverages" numFmtId="164">
      <sharedItems containsSemiMixedTypes="0" containsString="0" containsNumber="1" minValue="173.99230769230769" maxValue="177.45384615384617"/>
    </cacheField>
    <cacheField name="Monthly Inflation Rate" numFmtId="2">
      <sharedItems containsSemiMixedTypes="0" containsString="0" containsNumber="1" minValue="-0.59318707201117182" maxValue="1.0408290896095831"/>
    </cacheField>
    <cacheField name="Month Yearwise" numFmtId="0">
      <sharedItems count="12">
        <s v="June2022"/>
        <s v="July2022"/>
        <s v="August2022"/>
        <s v="September2022"/>
        <s v="October2022"/>
        <s v="November2022"/>
        <s v="December2022"/>
        <s v="January2023"/>
        <s v="February2023"/>
        <s v="March2023"/>
        <s v="April2023"/>
        <s v="May2023"/>
      </sharedItems>
    </cacheField>
    <cacheField name="Absolute change in inflation" numFmtId="2">
      <sharedItems containsSemiMixedTypes="0" containsString="0" containsNumber="1" minValue="4.3876968978992913E-3" maxValue="1.04082908960958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20.484393287035" createdVersion="8" refreshedVersion="8" minRefreshableVersion="3" recordCount="13" xr:uid="{7E294FF0-4229-4CE8-856D-5AA17D0C0E56}">
  <cacheSource type="worksheet">
    <worksheetSource ref="A1:U14" sheet="Onset of Covid19"/>
  </cacheSource>
  <cacheFields count="21">
    <cacheField name="Sector" numFmtId="0">
      <sharedItems/>
    </cacheField>
    <cacheField name="Year" numFmtId="0">
      <sharedItems containsSemiMixedTypes="0" containsString="0" containsNumber="1" containsInteger="1" minValue="2019" maxValue="2020" count="2">
        <n v="2019"/>
        <n v="2020"/>
      </sharedItems>
    </cacheField>
    <cacheField name="Month" numFmtId="0">
      <sharedItems count="12">
        <s v="September"/>
        <s v="October"/>
        <s v="November"/>
        <s v="December"/>
        <s v="January"/>
        <s v="February"/>
        <s v="March"/>
        <s v="April"/>
        <s v="May"/>
        <s v="June"/>
        <s v="July"/>
        <s v="August"/>
      </sharedItems>
    </cacheField>
    <cacheField name="Cereals and products" numFmtId="0">
      <sharedItems containsSemiMixedTypes="0" containsString="0" containsNumber="1" minValue="140.9" maxValue="149.6"/>
    </cacheField>
    <cacheField name="Meat and fish" numFmtId="0">
      <sharedItems containsSemiMixedTypes="0" containsString="0" containsNumber="1" minValue="160.80000000000001" maxValue="192.7"/>
    </cacheField>
    <cacheField name="Egg" numFmtId="0">
      <sharedItems containsSemiMixedTypes="0" containsString="0" containsNumber="1" minValue="139.6" maxValue="154.9"/>
    </cacheField>
    <cacheField name="Milk and products" numFmtId="0">
      <sharedItems containsSemiMixedTypes="0" containsString="0" containsNumber="1" minValue="145.4" maxValue="155.6"/>
    </cacheField>
    <cacheField name="Oils and fats" numFmtId="0">
      <sharedItems containsSemiMixedTypes="0" containsString="0" containsNumber="1" minValue="123.5" maxValue="138.19999999999999"/>
    </cacheField>
    <cacheField name="Fruits" numFmtId="0">
      <sharedItems containsSemiMixedTypes="0" containsString="0" containsNumber="1" minValue="141.80000000000001" maxValue="150.9"/>
    </cacheField>
    <cacheField name="Vegetables" numFmtId="0">
      <sharedItems containsSemiMixedTypes="0" containsString="0" containsNumber="1" minValue="156.5" maxValue="217"/>
    </cacheField>
    <cacheField name="Pulses and products" numFmtId="0">
      <sharedItems containsSemiMixedTypes="0" containsString="0" containsNumber="1" minValue="131.6" maxValue="150.9"/>
    </cacheField>
    <cacheField name="Sugar and Confectionery" numFmtId="0">
      <sharedItems containsSemiMixedTypes="0" containsString="0" containsNumber="1" minValue="113.2" maxValue="120.3"/>
    </cacheField>
    <cacheField name="Spices" numFmtId="0">
      <sharedItems containsSemiMixedTypes="0" containsString="0" containsNumber="1" minValue="144.1" maxValue="160.30000000000001"/>
    </cacheField>
    <cacheField name="Non-alcoholic beverages" numFmtId="0">
      <sharedItems containsSemiMixedTypes="0" containsString="0" containsNumber="1" minValue="135" maxValue="142.19999999999999"/>
    </cacheField>
    <cacheField name="Prepared meals, snacks, sweets etc." numFmtId="0">
      <sharedItems containsSemiMixedTypes="0" containsString="0" containsNumber="1" minValue="156.80000000000001" maxValue="162.9"/>
    </cacheField>
    <cacheField name="Food and beverages" numFmtId="0">
      <sharedItems containsSemiMixedTypes="0" containsString="0" containsNumber="1" minValue="147" maxValue="158"/>
    </cacheField>
    <cacheField name="Fuel and light" numFmtId="0">
      <sharedItems containsSemiMixedTypes="0" containsString="0" containsNumber="1" minValue="139.19999999999999" maxValue="148.9"/>
    </cacheField>
    <cacheField name="Health" numFmtId="0">
      <sharedItems containsSemiMixedTypes="0" containsString="0" containsNumber="1" minValue="149" maxValue="155.6"/>
    </cacheField>
    <cacheField name="Transport and communication" numFmtId="0">
      <sharedItems containsSemiMixedTypes="0" containsString="0" containsNumber="1" minValue="126.1" maxValue="139.6"/>
    </cacheField>
    <cacheField name="Average of Essentials" numFmtId="164">
      <sharedItems containsSemiMixedTypes="0" containsString="0" containsNumber="1" minValue="141.99999999999997" maxValue="152.81874999999999"/>
    </cacheField>
    <cacheField name="Inflation rate monthly" numFmtId="10">
      <sharedItems containsSemiMixedTypes="0" containsString="0" containsNumber="1" minValue="-1.1624968410411891E-2" maxValue="2.194664621154029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29.898299884262" createdVersion="8" refreshedVersion="8" minRefreshableVersion="3" recordCount="6" xr:uid="{6B1BC6A4-BA48-4761-92E5-3A22D8A6DB80}">
  <cacheSource type="worksheet">
    <worksheetSource ref="H1:I7" sheet="Ans2"/>
  </cacheSource>
  <cacheFields count="2">
    <cacheField name="YEARS" numFmtId="0">
      <sharedItems containsSemiMixedTypes="0" containsString="0" containsNumber="1" containsInteger="1" minValue="2017" maxValue="2022" count="6">
        <n v="2017"/>
        <n v="2018"/>
        <n v="2019"/>
        <n v="2020"/>
        <n v="2021"/>
        <n v="2022"/>
      </sharedItems>
    </cacheField>
    <cacheField name="ANNUAL INFLATION" numFmtId="10">
      <sharedItems containsSemiMixedTypes="0" containsString="0" containsNumber="1" minValue="2.3374726077428697E-2" maxValue="7.7363896848137617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29.915099652775" createdVersion="8" refreshedVersion="8" minRefreshableVersion="3" recordCount="29" xr:uid="{B6AD19F2-5455-4B92-BBE6-406511D8D2AA}">
  <cacheSource type="worksheet">
    <worksheetSource ref="A1:E30" sheet="Ans5"/>
  </cacheSource>
  <cacheFields count="5">
    <cacheField name="Sector" numFmtId="0">
      <sharedItems/>
    </cacheField>
    <cacheField name="Year" numFmtId="0">
      <sharedItems containsSemiMixedTypes="0" containsString="0" containsNumber="1" containsInteger="1" minValue="2021" maxValue="2023" count="3">
        <n v="2021"/>
        <n v="2022"/>
        <n v="2023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Fuel and light" numFmtId="0">
      <sharedItems containsSemiMixedTypes="0" containsString="0" containsNumber="1" minValue="147.9" maxValue="182.8"/>
    </cacheField>
    <cacheField name="MONTHWISE Change" numFmtId="10">
      <sharedItems containsSemiMixedTypes="0" containsString="0" containsNumber="1" minValue="-4.4543429844097048E-3" maxValue="3.0425963488843813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ALI UTEKAR" refreshedDate="46029.937368981482" createdVersion="8" refreshedVersion="8" minRefreshableVersion="3" recordCount="12" xr:uid="{20C5A6DB-2846-4BA2-8F3F-DF1A47E4E4CC}">
  <cacheSource type="worksheet">
    <worksheetSource ref="A1:T13" sheet="Ans3"/>
  </cacheSource>
  <cacheFields count="20">
    <cacheField name="Sector" numFmtId="0">
      <sharedItems/>
    </cacheField>
    <cacheField name="Year" numFmtId="0">
      <sharedItems containsSemiMixedTypes="0" containsString="0" containsNumber="1" containsInteger="1" minValue="2022" maxValue="2023" count="2">
        <n v="2022"/>
        <n v="2023"/>
      </sharedItems>
    </cacheField>
    <cacheField name="Month" numFmtId="0">
      <sharedItems count="12">
        <s v="June"/>
        <s v="July"/>
        <s v="August"/>
        <s v="September"/>
        <s v="October"/>
        <s v="November"/>
        <s v="December"/>
        <s v="January"/>
        <s v="February"/>
        <s v="March"/>
        <s v="April"/>
        <s v="May"/>
      </sharedItems>
    </cacheField>
    <cacheField name="Broader Food and Beverages" numFmtId="164">
      <sharedItems containsSemiMixedTypes="0" containsString="0" containsNumber="1" minValue="173.99230769230769" maxValue="177.45384615384617"/>
    </cacheField>
    <cacheField name="Monthly Inflation Rate" numFmtId="2">
      <sharedItems containsSemiMixedTypes="0" containsString="0" containsNumber="1" minValue="-0.59318707201117182" maxValue="0.75559049615652807"/>
    </cacheField>
    <cacheField name="Month Yearwise" numFmtId="0">
      <sharedItems/>
    </cacheField>
    <cacheField name="Absolute change in inflation" numFmtId="2">
      <sharedItems containsSemiMixedTypes="0" containsString="0" containsNumber="1" minValue="4.3876968978992913E-3" maxValue="0.75559049615652807"/>
    </cacheField>
    <cacheField name="Cereals and products" numFmtId="0">
      <sharedItems containsSemiMixedTypes="0" containsString="0" containsNumber="1" minValue="155" maxValue="174.4"/>
    </cacheField>
    <cacheField name="Meat and fish" numFmtId="0">
      <sharedItems containsSemiMixedTypes="0" containsString="0" containsNumber="1" minValue="206.5" maxValue="219.4"/>
    </cacheField>
    <cacheField name="Egg" numFmtId="0">
      <sharedItems containsSemiMixedTypes="0" containsString="0" containsNumber="1" minValue="169.2" maxValue="194.5"/>
    </cacheField>
    <cacheField name="Milk and products" numFmtId="0">
      <sharedItems containsSemiMixedTypes="0" containsString="0" containsNumber="1" minValue="165.8" maxValue="179.5"/>
    </cacheField>
    <cacheField name="Oils and fats" numFmtId="0">
      <sharedItems containsSemiMixedTypes="0" containsString="0" containsNumber="1" minValue="170" maxValue="200.9"/>
    </cacheField>
    <cacheField name="Fruits" numFmtId="0">
      <sharedItems containsSemiMixedTypes="0" containsString="0" containsNumber="1" minValue="158" maxValue="176.3"/>
    </cacheField>
    <cacheField name="Vegetables" numFmtId="0">
      <sharedItems containsSemiMixedTypes="0" containsString="0" containsNumber="1" minValue="152.69999999999999" maxValue="199.7"/>
    </cacheField>
    <cacheField name="Pulses and products" numFmtId="0">
      <sharedItems containsSemiMixedTypes="0" containsString="0" containsNumber="1" minValue="164.3" maxValue="175.6"/>
    </cacheField>
    <cacheField name="Sugar and Confectionery" numFmtId="0">
      <sharedItems containsSemiMixedTypes="0" containsString="0" containsNumber="1" minValue="119.9" maxValue="122.7"/>
    </cacheField>
    <cacheField name="Spices" numFmtId="0">
      <sharedItems containsSemiMixedTypes="0" containsString="0" containsNumber="1" minValue="187.1" maxValue="218"/>
    </cacheField>
    <cacheField name="Non-alcoholic beverages" numFmtId="0">
      <sharedItems containsSemiMixedTypes="0" containsString="0" containsNumber="1" minValue="167.9" maxValue="173.4"/>
    </cacheField>
    <cacheField name="Prepared meals, snacks, sweets etc." numFmtId="0">
      <sharedItems containsSemiMixedTypes="0" containsString="0" containsNumber="1" minValue="183.9" maxValue="194.2"/>
    </cacheField>
    <cacheField name="Food and beverages" numFmtId="0">
      <sharedItems containsSemiMixedTypes="0" containsString="0" containsNumber="1" minValue="174.9" maxValue="179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s v="Cereals and products"/>
    <n v="173.2"/>
    <n v="174.7"/>
    <n v="173.7"/>
    <x v="0"/>
  </r>
  <r>
    <s v="Meat and fish"/>
    <n v="211.5"/>
    <n v="219.4"/>
    <n v="214.3"/>
    <x v="0"/>
  </r>
  <r>
    <s v="Egg"/>
    <n v="171"/>
    <n v="176.7"/>
    <n v="173.2"/>
    <x v="0"/>
  </r>
  <r>
    <s v="Milk and products"/>
    <n v="179.6"/>
    <n v="179.4"/>
    <n v="179.5"/>
    <x v="0"/>
  </r>
  <r>
    <s v="Oils and fats"/>
    <n v="173.3"/>
    <n v="164.4"/>
    <n v="170"/>
    <x v="0"/>
  </r>
  <r>
    <s v="Fruits"/>
    <n v="169"/>
    <n v="175.8"/>
    <n v="172.2"/>
    <x v="0"/>
  </r>
  <r>
    <s v="Vegetables"/>
    <n v="148.69999999999999"/>
    <n v="185"/>
    <n v="161"/>
    <x v="0"/>
  </r>
  <r>
    <s v="Pulses and products"/>
    <n v="174.9"/>
    <n v="176.9"/>
    <n v="175.6"/>
    <x v="0"/>
  </r>
  <r>
    <s v="Sugar and Confectionery"/>
    <n v="121.9"/>
    <n v="124.2"/>
    <n v="122.7"/>
    <x v="0"/>
  </r>
  <r>
    <s v="Spices"/>
    <n v="221"/>
    <n v="211.9"/>
    <n v="218"/>
    <x v="0"/>
  </r>
  <r>
    <s v="Non-alcoholic beverages"/>
    <n v="178.7"/>
    <n v="165.9"/>
    <n v="173.4"/>
    <x v="0"/>
  </r>
  <r>
    <s v="Prepared meals, snacks, sweets etc."/>
    <n v="191.1"/>
    <n v="197.7"/>
    <n v="194.2"/>
    <x v="0"/>
  </r>
  <r>
    <s v="Food and beverages"/>
    <n v="176.8"/>
    <n v="183.1"/>
    <n v="179.1"/>
    <x v="0"/>
  </r>
  <r>
    <s v="Pan, tobacco and intoxicants"/>
    <n v="199.9"/>
    <n v="204.2"/>
    <n v="201"/>
    <x v="1"/>
  </r>
  <r>
    <s v="Clothing"/>
    <n v="191.2"/>
    <n v="181.3"/>
    <n v="187.3"/>
    <x v="2"/>
  </r>
  <r>
    <s v="Footwear"/>
    <n v="187.9"/>
    <n v="168.1"/>
    <n v="179.7"/>
    <x v="2"/>
  </r>
  <r>
    <s v="Clothing and footwear"/>
    <n v="190.8"/>
    <n v="179.3"/>
    <n v="186.2"/>
    <x v="2"/>
  </r>
  <r>
    <s v="Housing"/>
    <s v="-"/>
    <n v="175.6"/>
    <n v="175.6"/>
    <x v="3"/>
  </r>
  <r>
    <s v="Fuel and light"/>
    <n v="182.5"/>
    <n v="183.4"/>
    <n v="182.8"/>
    <x v="4"/>
  </r>
  <r>
    <s v="Household goods and services"/>
    <n v="179.8"/>
    <n v="170.1"/>
    <n v="175.2"/>
    <x v="3"/>
  </r>
  <r>
    <s v="Health"/>
    <n v="187.8"/>
    <n v="182.2"/>
    <n v="185.7"/>
    <x v="5"/>
  </r>
  <r>
    <s v="Transport and communication"/>
    <n v="169.7"/>
    <n v="160.4"/>
    <n v="164.8"/>
    <x v="6"/>
  </r>
  <r>
    <s v="Recreation and amusement"/>
    <n v="173.8"/>
    <n v="169.2"/>
    <n v="171.2"/>
    <x v="7"/>
  </r>
  <r>
    <s v="Education"/>
    <n v="180.3"/>
    <n v="174.8"/>
    <n v="177.1"/>
    <x v="8"/>
  </r>
  <r>
    <s v="Personal care and effects"/>
    <n v="184.9"/>
    <n v="185.6"/>
    <n v="185.2"/>
    <x v="7"/>
  </r>
  <r>
    <s v="Miscellaneous"/>
    <n v="179.5"/>
    <n v="171.6"/>
    <n v="175.7"/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Rural+Urban"/>
    <n v="2022"/>
    <s v="June"/>
    <n v="173.99230769230769"/>
    <n v="1.0408290896095831"/>
    <x v="0"/>
  </r>
  <r>
    <s v="Rural+Urban"/>
    <n v="2022"/>
    <s v="July"/>
    <n v="174.33076923076925"/>
    <n v="0.19452672531943327"/>
    <x v="1"/>
  </r>
  <r>
    <s v="Rural+Urban"/>
    <n v="2022"/>
    <s v="August"/>
    <n v="174.55384615384617"/>
    <n v="0.12796187618585006"/>
    <x v="2"/>
  </r>
  <r>
    <s v="Rural+Urban"/>
    <n v="2022"/>
    <s v="September"/>
    <n v="175.45384615384617"/>
    <n v="0.51560021152829516"/>
    <x v="3"/>
  </r>
  <r>
    <s v="Rural+Urban"/>
    <n v="2022"/>
    <s v="October"/>
    <n v="176.71538461538464"/>
    <n v="0.71901442413082706"/>
    <x v="4"/>
  </r>
  <r>
    <s v="Rural+Urban"/>
    <n v="2022"/>
    <s v="November"/>
    <n v="176.67692307692309"/>
    <n v="-2.1764680276851682E-2"/>
    <x v="5"/>
  </r>
  <r>
    <s v="Rural+Urban"/>
    <n v="2022"/>
    <s v="December"/>
    <n v="175.64615384615385"/>
    <n v="-0.58342041100662179"/>
    <x v="6"/>
  </r>
  <r>
    <s v="Rural+Urban"/>
    <n v="2023"/>
    <s v="January"/>
    <n v="176.36153846153846"/>
    <n v="0.40728737847069707"/>
    <x v="7"/>
  </r>
  <r>
    <s v="Rural+Urban"/>
    <n v="2023"/>
    <s v="February"/>
    <n v="175.3153846153846"/>
    <n v="-0.59318707201117182"/>
    <x v="8"/>
  </r>
  <r>
    <s v="Rural+Urban"/>
    <n v="2023"/>
    <s v="March"/>
    <n v="175.32307692307691"/>
    <n v="4.3876968978992913E-3"/>
    <x v="9"/>
  </r>
  <r>
    <s v="Rural+Urban"/>
    <n v="2023"/>
    <s v="April"/>
    <n v="176.12307692307695"/>
    <n v="0.456300456300479"/>
    <x v="10"/>
  </r>
  <r>
    <s v="Rural+Urban"/>
    <n v="2023"/>
    <s v="May"/>
    <n v="177.45384615384617"/>
    <n v="0.75559049615652807"/>
    <x v="1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Rural+Urban"/>
    <n v="2022"/>
    <s v="June"/>
    <n v="173.99230769230769"/>
    <n v="1.0408290896095831"/>
    <x v="0"/>
    <n v="1.0408290896095831"/>
  </r>
  <r>
    <s v="Rural+Urban"/>
    <n v="2022"/>
    <s v="July"/>
    <n v="174.33076923076925"/>
    <n v="0.19452672531943327"/>
    <x v="1"/>
    <n v="0.19452672531943327"/>
  </r>
  <r>
    <s v="Rural+Urban"/>
    <n v="2022"/>
    <s v="August"/>
    <n v="174.55384615384617"/>
    <n v="0.12796187618585006"/>
    <x v="2"/>
    <n v="0.12796187618585006"/>
  </r>
  <r>
    <s v="Rural+Urban"/>
    <n v="2022"/>
    <s v="September"/>
    <n v="175.45384615384617"/>
    <n v="0.51560021152829516"/>
    <x v="3"/>
    <n v="0.51560021152829516"/>
  </r>
  <r>
    <s v="Rural+Urban"/>
    <n v="2022"/>
    <s v="October"/>
    <n v="176.71538461538464"/>
    <n v="0.71901442413082706"/>
    <x v="4"/>
    <n v="0.71901442413082706"/>
  </r>
  <r>
    <s v="Rural+Urban"/>
    <n v="2022"/>
    <s v="November"/>
    <n v="176.67692307692309"/>
    <n v="-2.1764680276851682E-2"/>
    <x v="5"/>
    <n v="2.1764680276851682E-2"/>
  </r>
  <r>
    <s v="Rural+Urban"/>
    <n v="2022"/>
    <s v="December"/>
    <n v="175.64615384615385"/>
    <n v="-0.58342041100662179"/>
    <x v="6"/>
    <n v="0.58342041100662179"/>
  </r>
  <r>
    <s v="Rural+Urban"/>
    <n v="2023"/>
    <s v="January"/>
    <n v="176.36153846153846"/>
    <n v="0.40728737847069707"/>
    <x v="7"/>
    <n v="0.40728737847069707"/>
  </r>
  <r>
    <s v="Rural+Urban"/>
    <n v="2023"/>
    <s v="February"/>
    <n v="175.3153846153846"/>
    <n v="-0.59318707201117182"/>
    <x v="8"/>
    <n v="0.59318707201117182"/>
  </r>
  <r>
    <s v="Rural+Urban"/>
    <n v="2023"/>
    <s v="March"/>
    <n v="175.32307692307691"/>
    <n v="4.3876968978992913E-3"/>
    <x v="9"/>
    <n v="4.3876968978992913E-3"/>
  </r>
  <r>
    <s v="Rural+Urban"/>
    <n v="2023"/>
    <s v="April"/>
    <n v="176.12307692307695"/>
    <n v="0.456300456300479"/>
    <x v="10"/>
    <n v="0.456300456300479"/>
  </r>
  <r>
    <s v="Rural+Urban"/>
    <n v="2023"/>
    <s v="May"/>
    <n v="177.45384615384617"/>
    <n v="0.75559049615652807"/>
    <x v="11"/>
    <n v="0.7555904961565280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Rural+Urban"/>
    <x v="0"/>
    <x v="0"/>
    <n v="140.9"/>
    <n v="160.80000000000001"/>
    <n v="139.6"/>
    <n v="145.4"/>
    <n v="123.5"/>
    <n v="146.6"/>
    <n v="173.2"/>
    <n v="131.6"/>
    <n v="113.2"/>
    <n v="144.1"/>
    <n v="135"/>
    <n v="156.80000000000001"/>
    <n v="147"/>
    <n v="139.19999999999999"/>
    <n v="149"/>
    <n v="126.1"/>
    <n v="141.99999999999997"/>
    <n v="5.6657223796032791E-3"/>
  </r>
  <r>
    <s v="Rural+Urban"/>
    <x v="0"/>
    <x v="1"/>
    <n v="141.80000000000001"/>
    <n v="161"/>
    <n v="142.6"/>
    <n v="146.19999999999999"/>
    <n v="123.9"/>
    <n v="148"/>
    <n v="188.4"/>
    <n v="132.5"/>
    <n v="114"/>
    <n v="145.4"/>
    <n v="135.1"/>
    <n v="157.1"/>
    <n v="149.6"/>
    <n v="140.6"/>
    <n v="149.4"/>
    <n v="126.3"/>
    <n v="143.86874999999998"/>
    <n v="1.3160211267605677E-2"/>
  </r>
  <r>
    <s v="Rural+Urban"/>
    <x v="0"/>
    <x v="2"/>
    <n v="142.5"/>
    <n v="163.19999999999999"/>
    <n v="145.6"/>
    <n v="146.69999999999999"/>
    <n v="124.3"/>
    <n v="147.4"/>
    <n v="199.6"/>
    <n v="135.69999999999999"/>
    <n v="114.2"/>
    <n v="147"/>
    <n v="135.30000000000001"/>
    <n v="157.5"/>
    <n v="151.9"/>
    <n v="142.30000000000001"/>
    <n v="149.9"/>
    <n v="126.6"/>
    <n v="145.60625000000002"/>
    <n v="1.207697988618126E-2"/>
  </r>
  <r>
    <s v="Rural+Urban"/>
    <x v="0"/>
    <x v="3"/>
    <n v="143.5"/>
    <n v="165"/>
    <n v="151.1"/>
    <n v="148.30000000000001"/>
    <n v="125.7"/>
    <n v="145.69999999999999"/>
    <n v="217"/>
    <n v="138.30000000000001"/>
    <n v="114"/>
    <n v="148.69999999999999"/>
    <n v="135.80000000000001"/>
    <n v="158"/>
    <n v="155"/>
    <n v="143.69999999999999"/>
    <n v="150.4"/>
    <n v="129.80000000000001"/>
    <n v="148.12500000000003"/>
    <n v="1.729836459630003E-2"/>
  </r>
  <r>
    <s v="Rural+Urban"/>
    <x v="1"/>
    <x v="4"/>
    <n v="144.30000000000001"/>
    <n v="167.4"/>
    <n v="154.9"/>
    <n v="150.1"/>
    <n v="129.9"/>
    <n v="143.19999999999999"/>
    <n v="197"/>
    <n v="140.4"/>
    <n v="114.1"/>
    <n v="150.9"/>
    <n v="136.1"/>
    <n v="158.6"/>
    <n v="153.5"/>
    <n v="144.6"/>
    <n v="151.19999999999999"/>
    <n v="130.9"/>
    <n v="147.94374999999999"/>
    <n v="-1.2236286919833524E-3"/>
  </r>
  <r>
    <s v="Rural+Urban"/>
    <x v="1"/>
    <x v="5"/>
    <n v="144.80000000000001"/>
    <n v="167.5"/>
    <n v="151.80000000000001"/>
    <n v="150.80000000000001"/>
    <n v="131.4"/>
    <n v="141.80000000000001"/>
    <n v="170.7"/>
    <n v="141.1"/>
    <n v="113.6"/>
    <n v="152"/>
    <n v="136.5"/>
    <n v="159.1"/>
    <n v="150.5"/>
    <n v="147.19999999999999"/>
    <n v="151.69999999999999"/>
    <n v="130.30000000000001"/>
    <n v="146.29999999999998"/>
    <n v="-1.1110641713489156E-2"/>
  </r>
  <r>
    <s v="Rural+Urban"/>
    <x v="1"/>
    <x v="6"/>
    <n v="145.1"/>
    <n v="167"/>
    <n v="148.1"/>
    <n v="151.5"/>
    <n v="131.19999999999999"/>
    <n v="142.5"/>
    <n v="157.30000000000001"/>
    <n v="141.1"/>
    <n v="113.2"/>
    <n v="153.19999999999999"/>
    <n v="136.69999999999999"/>
    <n v="159.6"/>
    <n v="148.9"/>
    <n v="148.9"/>
    <n v="152.30000000000001"/>
    <n v="129.9"/>
    <n v="145.40625000000003"/>
    <n v="-6.1090225563906675E-3"/>
  </r>
  <r>
    <s v="Rural+Urban"/>
    <x v="1"/>
    <x v="7"/>
    <n v="148.69999999999999"/>
    <n v="167.3"/>
    <n v="148.80000000000001"/>
    <n v="155.6"/>
    <n v="135.1"/>
    <n v="149.9"/>
    <n v="168.6"/>
    <n v="150.4"/>
    <n v="120.3"/>
    <n v="157.1"/>
    <n v="136.80000000000001"/>
    <n v="159.1"/>
    <n v="151.4"/>
    <n v="144.1"/>
    <n v="150.69999999999999"/>
    <n v="130.30000000000001"/>
    <n v="148.38749999999999"/>
    <n v="2.0502901353964906E-2"/>
  </r>
  <r>
    <s v="Rural+Urban"/>
    <x v="1"/>
    <x v="8"/>
    <n v="146.19999999999999"/>
    <n v="167.3"/>
    <n v="149.5"/>
    <n v="152.6"/>
    <n v="132.5"/>
    <n v="144.69999999999999"/>
    <n v="165.5"/>
    <n v="144.19999999999999"/>
    <n v="115.7"/>
    <n v="154.1"/>
    <n v="136.6"/>
    <n v="159.19999999999999"/>
    <n v="150.19999999999999"/>
    <n v="146.69999999999999"/>
    <n v="151.5"/>
    <n v="130.1"/>
    <n v="146.66249999999999"/>
    <n v="-1.1624968410411891E-2"/>
  </r>
  <r>
    <s v="Rural+Urban"/>
    <x v="1"/>
    <x v="9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41.9"/>
    <n v="154.4"/>
    <n v="135"/>
    <n v="149.88125000000002"/>
    <n v="2.1946646211540296E-2"/>
  </r>
  <r>
    <s v="Rural+Urban"/>
    <x v="1"/>
    <x v="10"/>
    <n v="149.6"/>
    <n v="192.7"/>
    <n v="151.4"/>
    <n v="153.30000000000001"/>
    <n v="136.30000000000001"/>
    <n v="147.19999999999999"/>
    <n v="156.5"/>
    <n v="150.9"/>
    <n v="114.2"/>
    <n v="159.5"/>
    <n v="139.4"/>
    <n v="161.80000000000001"/>
    <n v="154"/>
    <n v="141.9"/>
    <n v="154.4"/>
    <n v="135"/>
    <n v="149.88125000000002"/>
    <n v="0"/>
  </r>
  <r>
    <s v="Rural+Urban"/>
    <x v="1"/>
    <x v="11"/>
    <n v="148.9"/>
    <n v="190.9"/>
    <n v="150.80000000000001"/>
    <n v="153.30000000000001"/>
    <n v="137.4"/>
    <n v="150.4"/>
    <n v="178.1"/>
    <n v="150.4"/>
    <n v="115.1"/>
    <n v="160"/>
    <n v="140.6"/>
    <n v="162.30000000000001"/>
    <n v="157"/>
    <n v="143"/>
    <n v="155"/>
    <n v="138.5"/>
    <n v="151.98124999999999"/>
    <n v="1.4011092114590487E-2"/>
  </r>
  <r>
    <s v="Rural+Urban"/>
    <x v="1"/>
    <x v="0"/>
    <n v="148.4"/>
    <n v="187.1"/>
    <n v="152.5"/>
    <n v="153.6"/>
    <n v="138.19999999999999"/>
    <n v="150.9"/>
    <n v="186.7"/>
    <n v="149.80000000000001"/>
    <n v="116.4"/>
    <n v="160.30000000000001"/>
    <n v="142.19999999999999"/>
    <n v="162.9"/>
    <n v="158"/>
    <n v="142.9"/>
    <n v="155.6"/>
    <n v="139.6"/>
    <n v="152.81874999999999"/>
    <n v="5.5105481761730853E-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5.295471987720627E-2"/>
  </r>
  <r>
    <x v="1"/>
    <n v="2.3374726077428697E-2"/>
  </r>
  <r>
    <x v="2"/>
    <n v="7.7363896848137617E-2"/>
  </r>
  <r>
    <x v="3"/>
    <n v="5.7922769640479481E-2"/>
  </r>
  <r>
    <x v="4"/>
    <n v="5.657978385251098E-2"/>
  </r>
  <r>
    <x v="5"/>
    <n v="6.0350030175015092E-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s v="Rural+Urban"/>
    <x v="0"/>
    <x v="0"/>
    <n v="147.9"/>
    <n v="0"/>
  </r>
  <r>
    <s v="Rural+Urban"/>
    <x v="0"/>
    <x v="1"/>
    <n v="152.4"/>
    <n v="3.0425963488843813E-2"/>
  </r>
  <r>
    <s v="Rural+Urban"/>
    <x v="0"/>
    <x v="2"/>
    <n v="155.5"/>
    <n v="2.0341207349081326E-2"/>
  </r>
  <r>
    <s v="Rural+Urban"/>
    <x v="0"/>
    <x v="3"/>
    <n v="155.6"/>
    <n v="6.4308681672022071E-4"/>
  </r>
  <r>
    <s v="Rural+Urban"/>
    <x v="0"/>
    <x v="4"/>
    <n v="159.4"/>
    <n v="2.4421593830334265E-2"/>
  </r>
  <r>
    <s v="Rural+Urban"/>
    <x v="0"/>
    <x v="5"/>
    <n v="159.80000000000001"/>
    <n v="2.5094102885822186E-3"/>
  </r>
  <r>
    <s v="Rural+Urban"/>
    <x v="0"/>
    <x v="6"/>
    <n v="160.69999999999999"/>
    <n v="5.6320400500624356E-3"/>
  </r>
  <r>
    <s v="Rural+Urban"/>
    <x v="0"/>
    <x v="7"/>
    <n v="162.6"/>
    <n v="1.1823273179838244E-2"/>
  </r>
  <r>
    <s v="Rural+Urban"/>
    <x v="0"/>
    <x v="8"/>
    <n v="162.6"/>
    <n v="0"/>
  </r>
  <r>
    <s v="Rural+Urban"/>
    <x v="0"/>
    <x v="9"/>
    <n v="164.2"/>
    <n v="9.8400984009839754E-3"/>
  </r>
  <r>
    <s v="Rural+Urban"/>
    <x v="0"/>
    <x v="10"/>
    <n v="163.9"/>
    <n v="-1.8270401948841837E-3"/>
  </r>
  <r>
    <s v="Rural+Urban"/>
    <x v="0"/>
    <x v="11"/>
    <n v="164.1"/>
    <n v="1.2202562538132314E-3"/>
  </r>
  <r>
    <s v="Rural+Urban"/>
    <x v="1"/>
    <x v="0"/>
    <n v="164.2"/>
    <n v="6.0938452163311586E-4"/>
  </r>
  <r>
    <s v="Rural+Urban"/>
    <x v="1"/>
    <x v="1"/>
    <n v="165.7"/>
    <n v="9.1352009744214372E-3"/>
  </r>
  <r>
    <s v="Rural+Urban"/>
    <x v="1"/>
    <x v="2"/>
    <n v="167.2"/>
    <n v="9.0525045262522634E-3"/>
  </r>
  <r>
    <s v="Rural+Urban"/>
    <x v="1"/>
    <x v="3"/>
    <n v="172.2"/>
    <n v="2.9904306220095697E-2"/>
  </r>
  <r>
    <s v="Rural+Urban"/>
    <x v="1"/>
    <x v="4"/>
    <n v="174.6"/>
    <n v="1.3937282229965191E-2"/>
  </r>
  <r>
    <s v="Rural+Urban"/>
    <x v="1"/>
    <x v="5"/>
    <n v="176"/>
    <n v="8.0183276059565042E-3"/>
  </r>
  <r>
    <s v="Rural+Urban"/>
    <x v="1"/>
    <x v="6"/>
    <n v="179.6"/>
    <n v="2.0454545454545423E-2"/>
  </r>
  <r>
    <s v="Rural+Urban"/>
    <x v="1"/>
    <x v="7"/>
    <n v="178.8"/>
    <n v="-4.4543429844097048E-3"/>
  </r>
  <r>
    <s v="Rural+Urban"/>
    <x v="1"/>
    <x v="8"/>
    <n v="179.5"/>
    <n v="3.9149888143176093E-3"/>
  </r>
  <r>
    <s v="Rural+Urban"/>
    <x v="1"/>
    <x v="9"/>
    <n v="180.5"/>
    <n v="5.5710306406685237E-3"/>
  </r>
  <r>
    <s v="Rural+Urban"/>
    <x v="1"/>
    <x v="10"/>
    <n v="181.3"/>
    <n v="4.4321329639889825E-3"/>
  </r>
  <r>
    <s v="Rural+Urban"/>
    <x v="1"/>
    <x v="11"/>
    <n v="182"/>
    <n v="3.8610038610037982E-3"/>
  </r>
  <r>
    <s v="Rural+Urban"/>
    <x v="2"/>
    <x v="0"/>
    <n v="182"/>
    <n v="0"/>
  </r>
  <r>
    <s v="Rural+Urban"/>
    <x v="2"/>
    <x v="1"/>
    <n v="182.1"/>
    <n v="5.4945054945051823E-4"/>
  </r>
  <r>
    <s v="Rural+Urban"/>
    <x v="2"/>
    <x v="2"/>
    <n v="181.9"/>
    <n v="-1.0982976386600144E-3"/>
  </r>
  <r>
    <s v="Rural+Urban"/>
    <x v="2"/>
    <x v="3"/>
    <n v="181.7"/>
    <n v="-1.0995052226499013E-3"/>
  </r>
  <r>
    <s v="Rural+Urban"/>
    <x v="2"/>
    <x v="4"/>
    <n v="182.8"/>
    <n v="6.0539350577876877E-3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Rural+Urban"/>
    <x v="0"/>
    <x v="0"/>
    <n v="173.99230769230769"/>
    <n v="1.040829089609583E-2"/>
    <s v="June2022"/>
    <n v="1.040829089609583E-2"/>
    <n v="155"/>
    <n v="219.4"/>
    <n v="170.8"/>
    <n v="165.8"/>
    <n v="200.9"/>
    <n v="169.7"/>
    <n v="182.3"/>
    <n v="164.3"/>
    <n v="119.9"/>
    <n v="187.1"/>
    <n v="167.9"/>
    <n v="183.9"/>
    <n v="174.9"/>
  </r>
  <r>
    <s v="Rural+Urban"/>
    <x v="0"/>
    <x v="1"/>
    <n v="174.33076923076925"/>
    <n v="0.19452672531943327"/>
    <s v="July2022"/>
    <n v="0.19452672531943327"/>
    <n v="156.5"/>
    <n v="213"/>
    <n v="175.2"/>
    <n v="166.6"/>
    <n v="195.8"/>
    <n v="174.2"/>
    <n v="182.1"/>
    <n v="164.3"/>
    <n v="120"/>
    <n v="190"/>
    <n v="168.4"/>
    <n v="185.2"/>
    <n v="175"/>
  </r>
  <r>
    <s v="Rural+Urban"/>
    <x v="0"/>
    <x v="2"/>
    <n v="174.55384615384617"/>
    <n v="0.12796187618585006"/>
    <s v="August2022"/>
    <n v="0.12796187618585006"/>
    <n v="160.30000000000001"/>
    <n v="206.5"/>
    <n v="169.2"/>
    <n v="168.1"/>
    <n v="192.4"/>
    <n v="172.9"/>
    <n v="186.7"/>
    <n v="167.2"/>
    <n v="120.9"/>
    <n v="193.6"/>
    <n v="168.8"/>
    <n v="186.3"/>
    <n v="176.3"/>
  </r>
  <r>
    <s v="Rural+Urban"/>
    <x v="0"/>
    <x v="3"/>
    <n v="175.45384615384617"/>
    <n v="0.51560021152829516"/>
    <s v="September2022"/>
    <n v="0.51560021152829516"/>
    <n v="163.5"/>
    <n v="209.2"/>
    <n v="169.7"/>
    <n v="169.7"/>
    <n v="188.7"/>
    <n v="165.7"/>
    <n v="191.8"/>
    <n v="169.1"/>
    <n v="121.6"/>
    <n v="197.3"/>
    <n v="169.4"/>
    <n v="187.4"/>
    <n v="177.8"/>
  </r>
  <r>
    <s v="Rural+Urban"/>
    <x v="0"/>
    <x v="4"/>
    <n v="176.71538461538464"/>
    <n v="0.71901442413082706"/>
    <s v="October2022"/>
    <n v="0.71901442413082706"/>
    <n v="165.2"/>
    <n v="210.9"/>
    <n v="170.9"/>
    <n v="170.9"/>
    <n v="186.5"/>
    <n v="163.80000000000001"/>
    <n v="199.7"/>
    <n v="169.8"/>
    <n v="121.9"/>
    <n v="199.9"/>
    <n v="169.9"/>
    <n v="188.3"/>
    <n v="179.6"/>
  </r>
  <r>
    <s v="Rural+Urban"/>
    <x v="0"/>
    <x v="5"/>
    <n v="176.67692307692309"/>
    <n v="-2.1764680276851682E-2"/>
    <s v="November2022"/>
    <n v="2.1764680276851682E-2"/>
    <n v="167.4"/>
    <n v="209.4"/>
    <n v="181.4"/>
    <n v="172.3"/>
    <n v="188.9"/>
    <n v="160.69999999999999"/>
    <n v="183.1"/>
    <n v="170.5"/>
    <n v="122.1"/>
    <n v="202.8"/>
    <n v="170.4"/>
    <n v="189.5"/>
    <n v="178.3"/>
  </r>
  <r>
    <s v="Rural+Urban"/>
    <x v="0"/>
    <x v="6"/>
    <n v="175.64615384615385"/>
    <n v="-0.58342041100662179"/>
    <s v="December2022"/>
    <n v="0.58342041100662179"/>
    <n v="169.2"/>
    <n v="209"/>
    <n v="190.2"/>
    <n v="173.6"/>
    <n v="188.5"/>
    <n v="158"/>
    <n v="159.9"/>
    <n v="170.8"/>
    <n v="121.8"/>
    <n v="205.2"/>
    <n v="171"/>
    <n v="190.3"/>
    <n v="175.9"/>
  </r>
  <r>
    <s v="Rural+Urban"/>
    <x v="1"/>
    <x v="7"/>
    <n v="176.36153846153846"/>
    <n v="0.40728737847069707"/>
    <s v="January2023"/>
    <n v="0.40728737847069707"/>
    <n v="173.8"/>
    <n v="210.7"/>
    <n v="194.5"/>
    <n v="174.6"/>
    <n v="187.2"/>
    <n v="158.30000000000001"/>
    <n v="153.9"/>
    <n v="170.9"/>
    <n v="121.1"/>
    <n v="208.4"/>
    <n v="171.4"/>
    <n v="191.2"/>
    <n v="176.7"/>
  </r>
  <r>
    <s v="Rural+Urban"/>
    <x v="1"/>
    <x v="8"/>
    <n v="175.3153846153846"/>
    <n v="-0.59318707201117182"/>
    <s v="February2023"/>
    <n v="0.59318707201117182"/>
    <n v="174.4"/>
    <n v="207.7"/>
    <n v="175.2"/>
    <n v="177.3"/>
    <n v="179.3"/>
    <n v="169.5"/>
    <n v="152.69999999999999"/>
    <n v="171"/>
    <n v="120"/>
    <n v="209.7"/>
    <n v="172.3"/>
    <n v="193"/>
    <n v="177"/>
  </r>
  <r>
    <s v="Rural+Urban"/>
    <x v="1"/>
    <x v="9"/>
    <n v="175.32307692307691"/>
    <n v="4.3876968978992913E-3"/>
    <s v="March2023"/>
    <n v="4.3876968978992913E-3"/>
    <n v="174.4"/>
    <n v="207.7"/>
    <n v="175.2"/>
    <n v="177.3"/>
    <n v="179.2"/>
    <n v="169.5"/>
    <n v="152.80000000000001"/>
    <n v="171.1"/>
    <n v="120"/>
    <n v="209.7"/>
    <n v="172.3"/>
    <n v="193"/>
    <n v="177"/>
  </r>
  <r>
    <s v="Rural+Urban"/>
    <x v="1"/>
    <x v="10"/>
    <n v="176.12307692307695"/>
    <n v="0.456300456300479"/>
    <s v="April2023"/>
    <n v="0.456300456300479"/>
    <n v="173.8"/>
    <n v="209.3"/>
    <n v="169.6"/>
    <n v="178.4"/>
    <n v="174.9"/>
    <n v="176.3"/>
    <n v="155.4"/>
    <n v="173.4"/>
    <n v="121.3"/>
    <n v="212.9"/>
    <n v="172.9"/>
    <n v="193.5"/>
    <n v="177.9"/>
  </r>
  <r>
    <s v="Rural+Urban"/>
    <x v="1"/>
    <x v="11"/>
    <n v="177.45384615384617"/>
    <n v="0.75559049615652807"/>
    <s v="May2023"/>
    <n v="0.75559049615652807"/>
    <n v="173.7"/>
    <n v="214.3"/>
    <n v="173.2"/>
    <n v="179.5"/>
    <n v="170"/>
    <n v="172.2"/>
    <n v="161"/>
    <n v="175.6"/>
    <n v="122.7"/>
    <n v="218"/>
    <n v="173.4"/>
    <n v="194.2"/>
    <n v="179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147BC4-A4B2-4854-B019-424AD66005FD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MONTH">
  <location ref="I4:J37" firstHeaderRow="1" firstDataRow="1" firstDataCol="1"/>
  <pivotFields count="5"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dataField="1" numFmtId="10" showAll="0"/>
  </pivotFields>
  <rowFields count="2">
    <field x="1"/>
    <field x="2"/>
  </rowFields>
  <rowItems count="3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Monthly Change in Oil CPI" fld="4" baseField="1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64C66A-EF4A-4E33-8555-95EC08FEE76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9" firstHeaderRow="1" firstDataRow="1" firstDataCol="1"/>
  <pivotFields count="21">
    <pivotField showAll="0"/>
    <pivotField axis="axisRow" showAll="0">
      <items count="3">
        <item x="0"/>
        <item x="1"/>
        <item t="default"/>
      </items>
    </pivotField>
    <pivotField axis="axisRow" showAll="0">
      <items count="13">
        <item x="4"/>
        <item x="5"/>
        <item x="6"/>
        <item x="7"/>
        <item x="8"/>
        <item x="9"/>
        <item x="10"/>
        <item x="11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dataField="1" numFmtId="10" showAll="0"/>
  </pivotFields>
  <rowFields count="2">
    <field x="1"/>
    <field x="2"/>
  </rowFields>
  <rowItems count="16">
    <i>
      <x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Sum of Inflation rate monthly" fld="20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052AB-28FF-47C4-9A8B-95166442D0F8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19:E32" firstHeaderRow="1" firstDataRow="1" firstDataCol="1"/>
  <pivotFields count="6">
    <pivotField showAll="0"/>
    <pivotField showAll="0"/>
    <pivotField showAll="0"/>
    <pivotField numFmtId="164" showAll="0"/>
    <pivotField dataField="1" numFmtId="2" showAll="0"/>
    <pivotField axis="axisRow" showAll="0" sortType="ascending">
      <items count="13">
        <item x="10"/>
        <item x="2"/>
        <item x="6"/>
        <item x="8"/>
        <item x="7"/>
        <item x="1"/>
        <item x="0"/>
        <item x="9"/>
        <item x="11"/>
        <item x="5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13">
    <i>
      <x v="3"/>
    </i>
    <i>
      <x v="2"/>
    </i>
    <i>
      <x v="9"/>
    </i>
    <i>
      <x v="7"/>
    </i>
    <i>
      <x v="1"/>
    </i>
    <i>
      <x v="5"/>
    </i>
    <i>
      <x v="4"/>
    </i>
    <i>
      <x/>
    </i>
    <i>
      <x v="11"/>
    </i>
    <i>
      <x v="10"/>
    </i>
    <i>
      <x v="8"/>
    </i>
    <i>
      <x v="6"/>
    </i>
    <i t="grand">
      <x/>
    </i>
  </rowItems>
  <colItems count="1">
    <i/>
  </colItems>
  <dataFields count="1">
    <dataField name="Monthly Inflation Rate%" fld="4" baseField="5" baseItem="1" numFmtId="2"/>
  </dataFields>
  <conditionalFormats count="2">
    <conditionalFormat type="all"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5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type="all"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5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604CB1-5CE4-404B-9B5E-749B599E28FC}" name="PivotTable9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:B32" firstHeaderRow="1" firstDataRow="1" firstDataCol="1"/>
  <pivotFields count="7">
    <pivotField showAll="0"/>
    <pivotField showAll="0"/>
    <pivotField showAll="0"/>
    <pivotField numFmtId="164" showAll="0"/>
    <pivotField numFmtId="2" showAll="0"/>
    <pivotField axis="axisRow" showAll="0">
      <items count="13">
        <item x="10"/>
        <item x="2"/>
        <item x="6"/>
        <item x="8"/>
        <item x="7"/>
        <item x="1"/>
        <item x="0"/>
        <item x="9"/>
        <item x="11"/>
        <item x="5"/>
        <item x="4"/>
        <item x="3"/>
        <item t="default"/>
      </items>
    </pivotField>
    <pivotField dataField="1" numFmtId="2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bs change in inflation" fld="6" baseField="5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C9B0A1-9F32-4CB7-BAFD-012C0E5C1554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MONTHS">
  <location ref="A61:B76" firstHeaderRow="1" firstDataRow="1" firstDataCol="1"/>
  <pivotFields count="20">
    <pivotField showAll="0"/>
    <pivotField axis="axisRow" showAll="0">
      <items count="3">
        <item x="0"/>
        <item x="1"/>
        <item t="default"/>
      </items>
    </pivotField>
    <pivotField axis="axisRow" showAll="0">
      <items count="13">
        <item x="7"/>
        <item x="8"/>
        <item x="9"/>
        <item x="10"/>
        <item x="11"/>
        <item x="0"/>
        <item x="1"/>
        <item x="2"/>
        <item x="3"/>
        <item x="4"/>
        <item x="5"/>
        <item x="6"/>
        <item t="default"/>
      </items>
    </pivotField>
    <pivotField dataField="1" numFmtId="164" showAll="0"/>
    <pivotField numFmtId="2"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15">
    <i>
      <x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Broader Food&amp;Beverages" fld="3" baseField="1" baseItem="0" numFmtId="16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0807F-CD59-452A-8D8C-41638CE8EB7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YEAR">
  <location ref="M3:N10" firstHeaderRow="1" firstDataRow="1" firstDataCol="1"/>
  <pivotFields count="2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1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YEARLY INFLATION" fld="1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0F423-08A6-4213-9EF9-C3A6024FEA3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2:L13" firstHeaderRow="1" firstDataRow="1" firstDataCol="1"/>
  <pivotFields count="5">
    <pivotField showAll="0"/>
    <pivotField showAll="0"/>
    <pivotField dataField="1" showAll="0"/>
    <pivotField showAll="0"/>
    <pivotField axis="axisRow" showAll="0">
      <items count="11">
        <item x="2"/>
        <item x="8"/>
        <item x="4"/>
        <item x="0"/>
        <item x="5"/>
        <item x="3"/>
        <item x="9"/>
        <item x="1"/>
        <item x="7"/>
        <item x="6"/>
        <item t="default"/>
      </items>
    </pivotField>
  </pivotFields>
  <rowFields count="1">
    <field x="4"/>
  </rowFields>
  <rowItems count="11">
    <i>
      <x v="3"/>
    </i>
    <i>
      <x/>
    </i>
    <i>
      <x v="8"/>
    </i>
    <i>
      <x v="5"/>
    </i>
    <i>
      <x v="7"/>
    </i>
    <i>
      <x v="2"/>
    </i>
    <i>
      <x v="4"/>
    </i>
    <i>
      <x v="1"/>
    </i>
    <i>
      <x v="6"/>
    </i>
    <i>
      <x v="9"/>
    </i>
    <i t="grand">
      <x/>
    </i>
  </rowItems>
  <colItems count="1">
    <i/>
  </colItems>
  <dataFields count="1">
    <dataField name="Urban%" fld="2" showDataAs="percentOfTotal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084E3E-B601-4256-8766-E52D159219E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oodCategory">
  <location ref="N2:O13" firstHeaderRow="1" firstDataRow="1" firstDataCol="1"/>
  <pivotFields count="5">
    <pivotField showAll="0"/>
    <pivotField showAll="0"/>
    <pivotField showAll="0"/>
    <pivotField dataField="1" showAll="0"/>
    <pivotField axis="axisRow" showAll="0" sortType="descending">
      <items count="11">
        <item x="2"/>
        <item x="8"/>
        <item x="4"/>
        <item x="0"/>
        <item x="5"/>
        <item x="3"/>
        <item x="9"/>
        <item x="1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11">
    <i>
      <x v="3"/>
    </i>
    <i>
      <x/>
    </i>
    <i>
      <x v="8"/>
    </i>
    <i>
      <x v="5"/>
    </i>
    <i>
      <x v="7"/>
    </i>
    <i>
      <x v="4"/>
    </i>
    <i>
      <x v="2"/>
    </i>
    <i>
      <x v="1"/>
    </i>
    <i>
      <x v="6"/>
    </i>
    <i>
      <x v="9"/>
    </i>
    <i t="grand">
      <x/>
    </i>
  </rowItems>
  <colItems count="1">
    <i/>
  </colItems>
  <dataFields count="1">
    <dataField name="Rural+Urban%" fld="3" showDataAs="percentOfTotal" baseField="4" baseItem="0" numFmtId="10"/>
  </dataFields>
  <conditionalFormats count="1">
    <conditionalFormat type="all"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pivotTableStyleInfo name="PivotStyleMedium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DF1894-BEBE-4C26-BA11-F0754568AD1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I13" firstHeaderRow="1" firstDataRow="1" firstDataCol="1"/>
  <pivotFields count="5">
    <pivotField showAll="0"/>
    <pivotField dataField="1" showAll="0"/>
    <pivotField showAll="0"/>
    <pivotField showAll="0"/>
    <pivotField axis="axisRow" showAll="0" sortType="descending">
      <items count="11">
        <item x="2"/>
        <item x="8"/>
        <item x="4"/>
        <item x="0"/>
        <item x="5"/>
        <item x="3"/>
        <item x="9"/>
        <item x="1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11">
    <i>
      <x v="3"/>
    </i>
    <i>
      <x/>
    </i>
    <i>
      <x v="8"/>
    </i>
    <i>
      <x v="7"/>
    </i>
    <i>
      <x v="4"/>
    </i>
    <i>
      <x v="2"/>
    </i>
    <i>
      <x v="1"/>
    </i>
    <i>
      <x v="5"/>
    </i>
    <i>
      <x v="6"/>
    </i>
    <i>
      <x v="9"/>
    </i>
    <i t="grand">
      <x/>
    </i>
  </rowItems>
  <colItems count="1">
    <i/>
  </colItems>
  <dataFields count="1">
    <dataField name="Rural%" fld="1" showDataAs="percentOfTotal" baseField="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D72C3-D3E8-41BB-9FF8-B85C67F25119}">
  <dimension ref="A1:AD373"/>
  <sheetViews>
    <sheetView workbookViewId="0"/>
  </sheetViews>
  <sheetFormatPr defaultRowHeight="14.4" x14ac:dyDescent="0.3"/>
  <cols>
    <col min="1" max="1" width="11.109375" bestFit="1" customWidth="1"/>
    <col min="4" max="4" width="18.21875" bestFit="1" customWidth="1"/>
    <col min="5" max="5" width="11.5546875" bestFit="1" customWidth="1"/>
    <col min="7" max="7" width="15.109375" bestFit="1" customWidth="1"/>
    <col min="8" max="8" width="13" bestFit="1" customWidth="1"/>
    <col min="10" max="10" width="9.88671875" bestFit="1" customWidth="1"/>
    <col min="11" max="11" width="17.33203125" bestFit="1" customWidth="1"/>
    <col min="12" max="12" width="20.6640625" bestFit="1" customWidth="1"/>
    <col min="14" max="14" width="21.109375" bestFit="1" customWidth="1"/>
    <col min="15" max="15" width="30.77734375" bestFit="1" customWidth="1"/>
    <col min="16" max="16" width="17" bestFit="1" customWidth="1"/>
    <col min="17" max="17" width="24.21875" bestFit="1" customWidth="1"/>
    <col min="20" max="20" width="18.5546875" bestFit="1" customWidth="1"/>
    <col min="21" max="21" width="9.77734375" bestFit="1" customWidth="1"/>
    <col min="22" max="22" width="11.44140625" bestFit="1" customWidth="1"/>
    <col min="23" max="23" width="25.5546875" bestFit="1" customWidth="1"/>
    <col min="25" max="25" width="25.21875" bestFit="1" customWidth="1"/>
    <col min="26" max="26" width="23.33203125" bestFit="1" customWidth="1"/>
    <col min="27" max="27" width="9" bestFit="1" customWidth="1"/>
    <col min="28" max="28" width="21.6640625" bestFit="1" customWidth="1"/>
    <col min="29" max="29" width="12.5546875" bestFit="1" customWidth="1"/>
    <col min="30" max="30" width="12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>
        <v>100.3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">
      <c r="A4" t="s">
        <v>34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>
        <v>100.3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">
      <c r="A5" t="s">
        <v>30</v>
      </c>
      <c r="B5">
        <v>2013</v>
      </c>
      <c r="C5" t="s">
        <v>35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">
      <c r="A6" t="s">
        <v>33</v>
      </c>
      <c r="B6">
        <v>2013</v>
      </c>
      <c r="C6" t="s">
        <v>35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>
        <v>100.4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">
      <c r="A7" t="s">
        <v>34</v>
      </c>
      <c r="B7">
        <v>2013</v>
      </c>
      <c r="C7" t="s">
        <v>35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>
        <v>100.4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">
      <c r="A8" t="s">
        <v>30</v>
      </c>
      <c r="B8">
        <v>2013</v>
      </c>
      <c r="C8" t="s">
        <v>36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">
      <c r="A9" t="s">
        <v>33</v>
      </c>
      <c r="B9">
        <v>2013</v>
      </c>
      <c r="C9" t="s">
        <v>36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>
        <v>100.4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">
      <c r="A10" t="s">
        <v>34</v>
      </c>
      <c r="B10">
        <v>2013</v>
      </c>
      <c r="C10" t="s">
        <v>36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>
        <v>100.4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">
      <c r="A11" t="s">
        <v>30</v>
      </c>
      <c r="B11">
        <v>2013</v>
      </c>
      <c r="C11" t="s">
        <v>37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">
      <c r="A12" t="s">
        <v>33</v>
      </c>
      <c r="B12">
        <v>2013</v>
      </c>
      <c r="C12" t="s">
        <v>37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>
        <v>100.5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">
      <c r="A13" t="s">
        <v>34</v>
      </c>
      <c r="B13">
        <v>2013</v>
      </c>
      <c r="C13" t="s">
        <v>37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>
        <v>100.5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">
      <c r="A14" t="s">
        <v>30</v>
      </c>
      <c r="B14">
        <v>2013</v>
      </c>
      <c r="C14" t="s">
        <v>38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">
      <c r="A15" t="s">
        <v>33</v>
      </c>
      <c r="B15">
        <v>2013</v>
      </c>
      <c r="C15" t="s">
        <v>38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>
        <v>100.5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">
      <c r="A16" t="s">
        <v>34</v>
      </c>
      <c r="B16">
        <v>2013</v>
      </c>
      <c r="C16" t="s">
        <v>38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>
        <v>100.5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">
      <c r="A17" t="s">
        <v>30</v>
      </c>
      <c r="B17">
        <v>2013</v>
      </c>
      <c r="C17" t="s">
        <v>39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">
      <c r="A18" t="s">
        <v>33</v>
      </c>
      <c r="B18">
        <v>2013</v>
      </c>
      <c r="C18" t="s">
        <v>39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>
        <v>106.6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">
      <c r="A19" t="s">
        <v>34</v>
      </c>
      <c r="B19">
        <v>2013</v>
      </c>
      <c r="C19" t="s">
        <v>39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>
        <v>106.6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">
      <c r="A20" t="s">
        <v>30</v>
      </c>
      <c r="B20">
        <v>2013</v>
      </c>
      <c r="C20" t="s">
        <v>40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">
      <c r="A21" t="s">
        <v>33</v>
      </c>
      <c r="B21">
        <v>2013</v>
      </c>
      <c r="C21" t="s">
        <v>40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>
        <v>107.7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">
      <c r="A22" t="s">
        <v>34</v>
      </c>
      <c r="B22">
        <v>2013</v>
      </c>
      <c r="C22" t="s">
        <v>40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>
        <v>107.7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">
      <c r="A23" t="s">
        <v>30</v>
      </c>
      <c r="B23">
        <v>2013</v>
      </c>
      <c r="C23" t="s">
        <v>41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">
      <c r="A24" t="s">
        <v>33</v>
      </c>
      <c r="B24">
        <v>2013</v>
      </c>
      <c r="C24" t="s">
        <v>41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>
        <v>108.9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">
      <c r="A25" t="s">
        <v>34</v>
      </c>
      <c r="B25">
        <v>2013</v>
      </c>
      <c r="C25" t="s">
        <v>41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>
        <v>108.9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">
      <c r="A26" t="s">
        <v>30</v>
      </c>
      <c r="B26">
        <v>2013</v>
      </c>
      <c r="C26" t="s">
        <v>42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">
      <c r="A27" t="s">
        <v>33</v>
      </c>
      <c r="B27">
        <v>2013</v>
      </c>
      <c r="C27" t="s">
        <v>42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>
        <v>109.7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">
      <c r="A28" t="s">
        <v>34</v>
      </c>
      <c r="B28">
        <v>2013</v>
      </c>
      <c r="C28" t="s">
        <v>42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>
        <v>109.7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">
      <c r="A29" t="s">
        <v>30</v>
      </c>
      <c r="B29">
        <v>2013</v>
      </c>
      <c r="C29" t="s">
        <v>43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">
      <c r="A30" t="s">
        <v>33</v>
      </c>
      <c r="B30">
        <v>2013</v>
      </c>
      <c r="C30" t="s">
        <v>43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>
        <v>110.5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">
      <c r="A31" t="s">
        <v>34</v>
      </c>
      <c r="B31">
        <v>2013</v>
      </c>
      <c r="C31" t="s">
        <v>43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>
        <v>110.5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">
      <c r="A32" t="s">
        <v>30</v>
      </c>
      <c r="B32">
        <v>2013</v>
      </c>
      <c r="C32" t="s">
        <v>44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">
      <c r="A33" t="s">
        <v>33</v>
      </c>
      <c r="B33">
        <v>2013</v>
      </c>
      <c r="C33" t="s">
        <v>45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>
        <v>111.1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">
      <c r="A34" t="s">
        <v>34</v>
      </c>
      <c r="B34">
        <v>2013</v>
      </c>
      <c r="C34" t="s">
        <v>45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>
        <v>111.1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">
      <c r="A35" t="s">
        <v>30</v>
      </c>
      <c r="B35">
        <v>2013</v>
      </c>
      <c r="C35" t="s">
        <v>46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">
      <c r="A36" t="s">
        <v>33</v>
      </c>
      <c r="B36">
        <v>2013</v>
      </c>
      <c r="C36" t="s">
        <v>46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>
        <v>110.7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">
      <c r="A37" t="s">
        <v>34</v>
      </c>
      <c r="B37">
        <v>2013</v>
      </c>
      <c r="C37" t="s">
        <v>46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>
        <v>110.7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>
        <v>111.6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">
      <c r="A40" t="s">
        <v>34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>
        <v>111.6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">
      <c r="A41" t="s">
        <v>30</v>
      </c>
      <c r="B41">
        <v>2014</v>
      </c>
      <c r="C41" t="s">
        <v>35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">
      <c r="A42" t="s">
        <v>33</v>
      </c>
      <c r="B42">
        <v>2014</v>
      </c>
      <c r="C42" t="s">
        <v>35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>
        <v>112.5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">
      <c r="A43" t="s">
        <v>34</v>
      </c>
      <c r="B43">
        <v>2014</v>
      </c>
      <c r="C43" t="s">
        <v>35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>
        <v>112.5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">
      <c r="A44" t="s">
        <v>30</v>
      </c>
      <c r="B44">
        <v>2014</v>
      </c>
      <c r="C44" t="s">
        <v>36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">
      <c r="A45" t="s">
        <v>33</v>
      </c>
      <c r="B45">
        <v>2014</v>
      </c>
      <c r="C45" t="s">
        <v>36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>
        <v>113.2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">
      <c r="A46" t="s">
        <v>34</v>
      </c>
      <c r="B46">
        <v>2014</v>
      </c>
      <c r="C46" t="s">
        <v>47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>
        <v>113.2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">
      <c r="A47" t="s">
        <v>30</v>
      </c>
      <c r="B47">
        <v>2014</v>
      </c>
      <c r="C47" t="s">
        <v>37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">
      <c r="A48" t="s">
        <v>33</v>
      </c>
      <c r="B48">
        <v>2014</v>
      </c>
      <c r="C48" t="s">
        <v>37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>
        <v>113.9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">
      <c r="A49" t="s">
        <v>34</v>
      </c>
      <c r="B49">
        <v>2014</v>
      </c>
      <c r="C49" t="s">
        <v>37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>
        <v>113.9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">
      <c r="A50" t="s">
        <v>30</v>
      </c>
      <c r="B50">
        <v>2014</v>
      </c>
      <c r="C50" t="s">
        <v>38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">
      <c r="A51" t="s">
        <v>33</v>
      </c>
      <c r="B51">
        <v>2014</v>
      </c>
      <c r="C51" t="s">
        <v>38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>
        <v>114.3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">
      <c r="A52" t="s">
        <v>34</v>
      </c>
      <c r="B52">
        <v>2014</v>
      </c>
      <c r="C52" t="s">
        <v>38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>
        <v>114.3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">
      <c r="A53" t="s">
        <v>30</v>
      </c>
      <c r="B53">
        <v>2014</v>
      </c>
      <c r="C53" t="s">
        <v>39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">
      <c r="A54" t="s">
        <v>33</v>
      </c>
      <c r="B54">
        <v>2014</v>
      </c>
      <c r="C54" t="s">
        <v>39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>
        <v>113.9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">
      <c r="A55" t="s">
        <v>34</v>
      </c>
      <c r="B55">
        <v>2014</v>
      </c>
      <c r="C55" t="s">
        <v>39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>
        <v>113.9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">
      <c r="A56" t="s">
        <v>30</v>
      </c>
      <c r="B56">
        <v>2014</v>
      </c>
      <c r="C56" t="s">
        <v>40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">
      <c r="A57" t="s">
        <v>33</v>
      </c>
      <c r="B57">
        <v>2014</v>
      </c>
      <c r="C57" t="s">
        <v>40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>
        <v>114.8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">
      <c r="A58" t="s">
        <v>34</v>
      </c>
      <c r="B58">
        <v>2014</v>
      </c>
      <c r="C58" t="s">
        <v>40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>
        <v>114.8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">
      <c r="A59" t="s">
        <v>30</v>
      </c>
      <c r="B59">
        <v>2014</v>
      </c>
      <c r="C59" t="s">
        <v>41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">
      <c r="A60" t="s">
        <v>33</v>
      </c>
      <c r="B60">
        <v>2014</v>
      </c>
      <c r="C60" t="s">
        <v>41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>
        <v>115.5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">
      <c r="A61" t="s">
        <v>34</v>
      </c>
      <c r="B61">
        <v>2014</v>
      </c>
      <c r="C61" t="s">
        <v>41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>
        <v>115.5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">
      <c r="A62" t="s">
        <v>30</v>
      </c>
      <c r="B62">
        <v>2014</v>
      </c>
      <c r="C62" t="s">
        <v>42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">
      <c r="A63" t="s">
        <v>33</v>
      </c>
      <c r="B63">
        <v>2014</v>
      </c>
      <c r="C63" t="s">
        <v>42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>
        <v>116.1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">
      <c r="A64" t="s">
        <v>34</v>
      </c>
      <c r="B64">
        <v>2014</v>
      </c>
      <c r="C64" t="s">
        <v>42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>
        <v>116.1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">
      <c r="A65" t="s">
        <v>30</v>
      </c>
      <c r="B65">
        <v>2014</v>
      </c>
      <c r="C65" t="s">
        <v>43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">
      <c r="A66" t="s">
        <v>33</v>
      </c>
      <c r="B66">
        <v>2014</v>
      </c>
      <c r="C66" t="s">
        <v>43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>
        <v>116.7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">
      <c r="A67" t="s">
        <v>34</v>
      </c>
      <c r="B67">
        <v>2014</v>
      </c>
      <c r="C67" t="s">
        <v>43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>
        <v>116.7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">
      <c r="A68" t="s">
        <v>30</v>
      </c>
      <c r="B68">
        <v>2014</v>
      </c>
      <c r="C68" t="s">
        <v>45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">
      <c r="A69" t="s">
        <v>33</v>
      </c>
      <c r="B69">
        <v>2014</v>
      </c>
      <c r="C69" t="s">
        <v>45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>
        <v>117.1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">
      <c r="A70" t="s">
        <v>34</v>
      </c>
      <c r="B70">
        <v>2014</v>
      </c>
      <c r="C70" t="s">
        <v>45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>
        <v>117.1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">
      <c r="A71" t="s">
        <v>30</v>
      </c>
      <c r="B71">
        <v>2014</v>
      </c>
      <c r="C71" t="s">
        <v>46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">
      <c r="A72" t="s">
        <v>33</v>
      </c>
      <c r="B72">
        <v>2014</v>
      </c>
      <c r="C72" t="s">
        <v>46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>
        <v>116.5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">
      <c r="A73" t="s">
        <v>34</v>
      </c>
      <c r="B73">
        <v>2014</v>
      </c>
      <c r="C73" t="s">
        <v>46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>
        <v>116.5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>
        <v>117.3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">
      <c r="A76" t="s">
        <v>34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>
        <v>117.3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">
      <c r="A77" t="s">
        <v>30</v>
      </c>
      <c r="B77">
        <v>2015</v>
      </c>
      <c r="C77" t="s">
        <v>35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">
      <c r="A78" t="s">
        <v>33</v>
      </c>
      <c r="B78">
        <v>2015</v>
      </c>
      <c r="C78" t="s">
        <v>35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>
        <v>118.1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">
      <c r="A79" t="s">
        <v>34</v>
      </c>
      <c r="B79">
        <v>2015</v>
      </c>
      <c r="C79" t="s">
        <v>35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>
        <v>118.1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">
      <c r="A80" t="s">
        <v>30</v>
      </c>
      <c r="B80">
        <v>2015</v>
      </c>
      <c r="C80" t="s">
        <v>36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">
      <c r="A81" t="s">
        <v>33</v>
      </c>
      <c r="B81">
        <v>2015</v>
      </c>
      <c r="C81" t="s">
        <v>36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>
        <v>118.6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">
      <c r="A82" t="s">
        <v>34</v>
      </c>
      <c r="B82">
        <v>2015</v>
      </c>
      <c r="C82" t="s">
        <v>36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>
        <v>118.6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">
      <c r="A83" t="s">
        <v>30</v>
      </c>
      <c r="B83">
        <v>2015</v>
      </c>
      <c r="C83" t="s">
        <v>37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">
      <c r="A84" t="s">
        <v>33</v>
      </c>
      <c r="B84">
        <v>2015</v>
      </c>
      <c r="C84" t="s">
        <v>37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>
        <v>119.2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">
      <c r="A85" t="s">
        <v>34</v>
      </c>
      <c r="B85">
        <v>2015</v>
      </c>
      <c r="C85" t="s">
        <v>37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>
        <v>119.2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">
      <c r="A86" t="s">
        <v>30</v>
      </c>
      <c r="B86">
        <v>2015</v>
      </c>
      <c r="C86" t="s">
        <v>38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">
      <c r="A87" t="s">
        <v>33</v>
      </c>
      <c r="B87">
        <v>2015</v>
      </c>
      <c r="C87" t="s">
        <v>38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>
        <v>119.6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">
      <c r="A88" t="s">
        <v>34</v>
      </c>
      <c r="B88">
        <v>2015</v>
      </c>
      <c r="C88" t="s">
        <v>38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>
        <v>119.6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">
      <c r="A89" t="s">
        <v>30</v>
      </c>
      <c r="B89">
        <v>2015</v>
      </c>
      <c r="C89" t="s">
        <v>39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">
      <c r="A90" t="s">
        <v>33</v>
      </c>
      <c r="B90">
        <v>2015</v>
      </c>
      <c r="C90" t="s">
        <v>39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>
        <v>119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">
      <c r="A91" t="s">
        <v>34</v>
      </c>
      <c r="B91">
        <v>2015</v>
      </c>
      <c r="C91" t="s">
        <v>39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>
        <v>119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">
      <c r="A92" t="s">
        <v>30</v>
      </c>
      <c r="B92">
        <v>2015</v>
      </c>
      <c r="C92" t="s">
        <v>40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">
      <c r="A93" t="s">
        <v>33</v>
      </c>
      <c r="B93">
        <v>2015</v>
      </c>
      <c r="C93" t="s">
        <v>40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>
        <v>119.9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">
      <c r="A94" t="s">
        <v>34</v>
      </c>
      <c r="B94">
        <v>2015</v>
      </c>
      <c r="C94" t="s">
        <v>40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>
        <v>119.9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">
      <c r="A95" t="s">
        <v>30</v>
      </c>
      <c r="B95">
        <v>2015</v>
      </c>
      <c r="C95" t="s">
        <v>41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">
      <c r="A96" t="s">
        <v>33</v>
      </c>
      <c r="B96">
        <v>2015</v>
      </c>
      <c r="C96" t="s">
        <v>41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>
        <v>120.9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">
      <c r="A97" t="s">
        <v>34</v>
      </c>
      <c r="B97">
        <v>2015</v>
      </c>
      <c r="C97" t="s">
        <v>41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>
        <v>120.9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">
      <c r="A98" t="s">
        <v>30</v>
      </c>
      <c r="B98">
        <v>2015</v>
      </c>
      <c r="C98" t="s">
        <v>42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">
      <c r="A99" t="s">
        <v>33</v>
      </c>
      <c r="B99">
        <v>2015</v>
      </c>
      <c r="C99" t="s">
        <v>42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>
        <v>121.6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">
      <c r="A100" t="s">
        <v>34</v>
      </c>
      <c r="B100">
        <v>2015</v>
      </c>
      <c r="C100" t="s">
        <v>42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>
        <v>121.6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">
      <c r="A101" t="s">
        <v>30</v>
      </c>
      <c r="B101">
        <v>2015</v>
      </c>
      <c r="C101" t="s">
        <v>43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">
      <c r="A102" t="s">
        <v>33</v>
      </c>
      <c r="B102">
        <v>2015</v>
      </c>
      <c r="C102" t="s">
        <v>43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>
        <v>122.4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">
      <c r="A103" t="s">
        <v>34</v>
      </c>
      <c r="B103">
        <v>2015</v>
      </c>
      <c r="C103" t="s">
        <v>43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>
        <v>122.4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">
      <c r="A104" t="s">
        <v>30</v>
      </c>
      <c r="B104">
        <v>2015</v>
      </c>
      <c r="C104" t="s">
        <v>45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">
      <c r="A105" t="s">
        <v>33</v>
      </c>
      <c r="B105">
        <v>2015</v>
      </c>
      <c r="C105" t="s">
        <v>45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>
        <v>122.9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">
      <c r="A106" t="s">
        <v>34</v>
      </c>
      <c r="B106">
        <v>2015</v>
      </c>
      <c r="C106" t="s">
        <v>45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>
        <v>122.9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">
      <c r="A107" t="s">
        <v>30</v>
      </c>
      <c r="B107">
        <v>2015</v>
      </c>
      <c r="C107" t="s">
        <v>46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">
      <c r="A108" t="s">
        <v>33</v>
      </c>
      <c r="B108">
        <v>2015</v>
      </c>
      <c r="C108" t="s">
        <v>46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>
        <v>122.4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">
      <c r="A109" t="s">
        <v>34</v>
      </c>
      <c r="B109">
        <v>2015</v>
      </c>
      <c r="C109" t="s">
        <v>46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>
        <v>122.4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>
        <v>123.4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">
      <c r="A112" t="s">
        <v>34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>
        <v>123.4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">
      <c r="A113" t="s">
        <v>30</v>
      </c>
      <c r="B113">
        <v>2016</v>
      </c>
      <c r="C113" t="s">
        <v>35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">
      <c r="A114" t="s">
        <v>33</v>
      </c>
      <c r="B114">
        <v>2016</v>
      </c>
      <c r="C114" t="s">
        <v>35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>
        <v>124.4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">
      <c r="A115" t="s">
        <v>34</v>
      </c>
      <c r="B115">
        <v>2016</v>
      </c>
      <c r="C115" t="s">
        <v>35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>
        <v>124.4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">
      <c r="A116" t="s">
        <v>30</v>
      </c>
      <c r="B116">
        <v>2016</v>
      </c>
      <c r="C116" t="s">
        <v>36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">
      <c r="A117" t="s">
        <v>33</v>
      </c>
      <c r="B117">
        <v>2016</v>
      </c>
      <c r="C117" t="s">
        <v>36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>
        <v>124.9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">
      <c r="A118" t="s">
        <v>34</v>
      </c>
      <c r="B118">
        <v>2016</v>
      </c>
      <c r="C118" t="s">
        <v>36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>
        <v>124.9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">
      <c r="A119" t="s">
        <v>30</v>
      </c>
      <c r="B119">
        <v>2016</v>
      </c>
      <c r="C119" t="s">
        <v>37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">
      <c r="A120" t="s">
        <v>33</v>
      </c>
      <c r="B120">
        <v>2016</v>
      </c>
      <c r="C120" t="s">
        <v>37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>
        <v>125.6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">
      <c r="A121" t="s">
        <v>34</v>
      </c>
      <c r="B121">
        <v>2016</v>
      </c>
      <c r="C121" t="s">
        <v>37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>
        <v>125.6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">
      <c r="A122" t="s">
        <v>30</v>
      </c>
      <c r="B122">
        <v>2016</v>
      </c>
      <c r="C122" t="s">
        <v>38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">
      <c r="A123" t="s">
        <v>33</v>
      </c>
      <c r="B123">
        <v>2016</v>
      </c>
      <c r="C123" t="s">
        <v>38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>
        <v>126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">
      <c r="A124" t="s">
        <v>34</v>
      </c>
      <c r="B124">
        <v>2016</v>
      </c>
      <c r="C124" t="s">
        <v>38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>
        <v>126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">
      <c r="A125" t="s">
        <v>30</v>
      </c>
      <c r="B125">
        <v>2016</v>
      </c>
      <c r="C125" t="s">
        <v>39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">
      <c r="A126" t="s">
        <v>33</v>
      </c>
      <c r="B126">
        <v>2016</v>
      </c>
      <c r="C126" t="s">
        <v>39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>
        <v>125.5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">
      <c r="A127" t="s">
        <v>34</v>
      </c>
      <c r="B127">
        <v>2016</v>
      </c>
      <c r="C127" t="s">
        <v>39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>
        <v>125.5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">
      <c r="A128" t="s">
        <v>30</v>
      </c>
      <c r="B128">
        <v>2016</v>
      </c>
      <c r="C128" t="s">
        <v>40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">
      <c r="A129" t="s">
        <v>33</v>
      </c>
      <c r="B129">
        <v>2016</v>
      </c>
      <c r="C129" t="s">
        <v>40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>
        <v>126.4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">
      <c r="A130" t="s">
        <v>34</v>
      </c>
      <c r="B130">
        <v>2016</v>
      </c>
      <c r="C130" t="s">
        <v>40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>
        <v>126.4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">
      <c r="A131" t="s">
        <v>30</v>
      </c>
      <c r="B131">
        <v>2016</v>
      </c>
      <c r="C131" t="s">
        <v>41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">
      <c r="A132" t="s">
        <v>33</v>
      </c>
      <c r="B132">
        <v>2016</v>
      </c>
      <c r="C132" t="s">
        <v>41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>
        <v>127.3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">
      <c r="A133" t="s">
        <v>34</v>
      </c>
      <c r="B133">
        <v>2016</v>
      </c>
      <c r="C133" t="s">
        <v>41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>
        <v>127.3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">
      <c r="A134" t="s">
        <v>30</v>
      </c>
      <c r="B134">
        <v>2016</v>
      </c>
      <c r="C134" t="s">
        <v>42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">
      <c r="A135" t="s">
        <v>33</v>
      </c>
      <c r="B135">
        <v>2016</v>
      </c>
      <c r="C135" t="s">
        <v>42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>
        <v>127.9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">
      <c r="A136" t="s">
        <v>34</v>
      </c>
      <c r="B136">
        <v>2016</v>
      </c>
      <c r="C136" t="s">
        <v>42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>
        <v>127.9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">
      <c r="A137" t="s">
        <v>30</v>
      </c>
      <c r="B137">
        <v>2016</v>
      </c>
      <c r="C137" t="s">
        <v>43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">
      <c r="A138" t="s">
        <v>33</v>
      </c>
      <c r="B138">
        <v>2016</v>
      </c>
      <c r="C138" t="s">
        <v>43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>
        <v>128.69999999999999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">
      <c r="A139" t="s">
        <v>34</v>
      </c>
      <c r="B139">
        <v>2016</v>
      </c>
      <c r="C139" t="s">
        <v>43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>
        <v>128.69999999999999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">
      <c r="A140" t="s">
        <v>30</v>
      </c>
      <c r="B140">
        <v>2016</v>
      </c>
      <c r="C140" t="s">
        <v>45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">
      <c r="A141" t="s">
        <v>33</v>
      </c>
      <c r="B141">
        <v>2016</v>
      </c>
      <c r="C141" t="s">
        <v>45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>
        <v>129.1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">
      <c r="A142" t="s">
        <v>34</v>
      </c>
      <c r="B142">
        <v>2016</v>
      </c>
      <c r="C142" t="s">
        <v>45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>
        <v>129.1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">
      <c r="A143" t="s">
        <v>30</v>
      </c>
      <c r="B143">
        <v>2016</v>
      </c>
      <c r="C143" t="s">
        <v>46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">
      <c r="A144" t="s">
        <v>33</v>
      </c>
      <c r="B144">
        <v>2016</v>
      </c>
      <c r="C144" t="s">
        <v>46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>
        <v>128.5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">
      <c r="A145" t="s">
        <v>34</v>
      </c>
      <c r="B145">
        <v>2016</v>
      </c>
      <c r="C145" t="s">
        <v>46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>
        <v>128.5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>
        <v>129.6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">
      <c r="A148" t="s">
        <v>34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>
        <v>129.6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">
      <c r="A149" t="s">
        <v>30</v>
      </c>
      <c r="B149">
        <v>2017</v>
      </c>
      <c r="C149" t="s">
        <v>35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">
      <c r="A150" t="s">
        <v>33</v>
      </c>
      <c r="B150">
        <v>2017</v>
      </c>
      <c r="C150" t="s">
        <v>35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>
        <v>130.5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">
      <c r="A151" t="s">
        <v>34</v>
      </c>
      <c r="B151">
        <v>2017</v>
      </c>
      <c r="C151" t="s">
        <v>35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>
        <v>130.5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">
      <c r="A152" t="s">
        <v>30</v>
      </c>
      <c r="B152">
        <v>2017</v>
      </c>
      <c r="C152" t="s">
        <v>36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">
      <c r="A153" t="s">
        <v>33</v>
      </c>
      <c r="B153">
        <v>2017</v>
      </c>
      <c r="C153" t="s">
        <v>36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>
        <v>131.1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">
      <c r="A154" t="s">
        <v>34</v>
      </c>
      <c r="B154">
        <v>2017</v>
      </c>
      <c r="C154" t="s">
        <v>36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>
        <v>131.1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">
      <c r="A155" t="s">
        <v>30</v>
      </c>
      <c r="B155">
        <v>2017</v>
      </c>
      <c r="C155" t="s">
        <v>37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">
      <c r="A156" t="s">
        <v>33</v>
      </c>
      <c r="B156">
        <v>2017</v>
      </c>
      <c r="C156" t="s">
        <v>37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>
        <v>131.69999999999999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">
      <c r="A157" t="s">
        <v>34</v>
      </c>
      <c r="B157">
        <v>2017</v>
      </c>
      <c r="C157" t="s">
        <v>37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>
        <v>131.69999999999999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">
      <c r="A158" t="s">
        <v>30</v>
      </c>
      <c r="B158">
        <v>2017</v>
      </c>
      <c r="C158" t="s">
        <v>38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">
      <c r="A159" t="s">
        <v>33</v>
      </c>
      <c r="B159">
        <v>2017</v>
      </c>
      <c r="C159" t="s">
        <v>38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>
        <v>132.1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">
      <c r="A160" t="s">
        <v>34</v>
      </c>
      <c r="B160">
        <v>2017</v>
      </c>
      <c r="C160" t="s">
        <v>38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>
        <v>132.1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">
      <c r="A161" t="s">
        <v>30</v>
      </c>
      <c r="B161">
        <v>2017</v>
      </c>
      <c r="C161" t="s">
        <v>39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">
      <c r="A162" t="s">
        <v>33</v>
      </c>
      <c r="B162">
        <v>2017</v>
      </c>
      <c r="C162" t="s">
        <v>39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>
        <v>131.4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">
      <c r="A163" t="s">
        <v>34</v>
      </c>
      <c r="B163">
        <v>2017</v>
      </c>
      <c r="C163" t="s">
        <v>39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>
        <v>131.4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">
      <c r="A164" t="s">
        <v>30</v>
      </c>
      <c r="B164">
        <v>2017</v>
      </c>
      <c r="C164" t="s">
        <v>40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">
      <c r="A165" t="s">
        <v>33</v>
      </c>
      <c r="B165">
        <v>2017</v>
      </c>
      <c r="C165" t="s">
        <v>40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>
        <v>132.6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">
      <c r="A166" t="s">
        <v>34</v>
      </c>
      <c r="B166">
        <v>2017</v>
      </c>
      <c r="C166" t="s">
        <v>40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>
        <v>132.6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">
      <c r="A167" t="s">
        <v>30</v>
      </c>
      <c r="B167">
        <v>2017</v>
      </c>
      <c r="C167" t="s">
        <v>41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">
      <c r="A168" t="s">
        <v>33</v>
      </c>
      <c r="B168">
        <v>2017</v>
      </c>
      <c r="C168" t="s">
        <v>41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>
        <v>134.4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">
      <c r="A169" t="s">
        <v>34</v>
      </c>
      <c r="B169">
        <v>2017</v>
      </c>
      <c r="C169" t="s">
        <v>41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>
        <v>134.4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">
      <c r="A170" t="s">
        <v>30</v>
      </c>
      <c r="B170">
        <v>2017</v>
      </c>
      <c r="C170" t="s">
        <v>42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">
      <c r="A171" t="s">
        <v>33</v>
      </c>
      <c r="B171">
        <v>2017</v>
      </c>
      <c r="C171" t="s">
        <v>42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>
        <v>135.69999999999999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">
      <c r="A172" t="s">
        <v>34</v>
      </c>
      <c r="B172">
        <v>2017</v>
      </c>
      <c r="C172" t="s">
        <v>42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>
        <v>135.69999999999999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">
      <c r="A173" t="s">
        <v>30</v>
      </c>
      <c r="B173">
        <v>2017</v>
      </c>
      <c r="C173" t="s">
        <v>43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">
      <c r="A174" t="s">
        <v>33</v>
      </c>
      <c r="B174">
        <v>2017</v>
      </c>
      <c r="C174" t="s">
        <v>43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>
        <v>137.30000000000001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">
      <c r="A175" t="s">
        <v>34</v>
      </c>
      <c r="B175">
        <v>2017</v>
      </c>
      <c r="C175" t="s">
        <v>43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>
        <v>137.30000000000001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">
      <c r="A176" t="s">
        <v>30</v>
      </c>
      <c r="B176">
        <v>2017</v>
      </c>
      <c r="C176" t="s">
        <v>45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">
      <c r="A177" t="s">
        <v>33</v>
      </c>
      <c r="B177">
        <v>2017</v>
      </c>
      <c r="C177" t="s">
        <v>45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>
        <v>138.6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">
      <c r="A178" t="s">
        <v>34</v>
      </c>
      <c r="B178">
        <v>2017</v>
      </c>
      <c r="C178" t="s">
        <v>45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>
        <v>138.6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">
      <c r="A179" t="s">
        <v>30</v>
      </c>
      <c r="B179">
        <v>2017</v>
      </c>
      <c r="C179" t="s">
        <v>46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">
      <c r="A180" t="s">
        <v>33</v>
      </c>
      <c r="B180">
        <v>2017</v>
      </c>
      <c r="C180" t="s">
        <v>46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>
        <v>139.1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">
      <c r="A181" t="s">
        <v>34</v>
      </c>
      <c r="B181">
        <v>2017</v>
      </c>
      <c r="C181" t="s">
        <v>46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>
        <v>139.1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>
        <v>140.4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">
      <c r="A184" t="s">
        <v>34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>
        <v>140.4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">
      <c r="A185" t="s">
        <v>30</v>
      </c>
      <c r="B185">
        <v>2018</v>
      </c>
      <c r="C185" t="s">
        <v>35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">
      <c r="A186" t="s">
        <v>33</v>
      </c>
      <c r="B186">
        <v>2018</v>
      </c>
      <c r="C186" t="s">
        <v>35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>
        <v>141.30000000000001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">
      <c r="A187" t="s">
        <v>34</v>
      </c>
      <c r="B187">
        <v>2018</v>
      </c>
      <c r="C187" t="s">
        <v>35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>
        <v>141.30000000000001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">
      <c r="A188" t="s">
        <v>30</v>
      </c>
      <c r="B188">
        <v>2018</v>
      </c>
      <c r="C188" t="s">
        <v>36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">
      <c r="A189" t="s">
        <v>33</v>
      </c>
      <c r="B189">
        <v>2018</v>
      </c>
      <c r="C189" t="s">
        <v>36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>
        <v>142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">
      <c r="A190" t="s">
        <v>34</v>
      </c>
      <c r="B190">
        <v>2018</v>
      </c>
      <c r="C190" t="s">
        <v>36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>
        <v>142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">
      <c r="A191" t="s">
        <v>30</v>
      </c>
      <c r="B191">
        <v>2018</v>
      </c>
      <c r="C191" t="s">
        <v>37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">
      <c r="A192" t="s">
        <v>33</v>
      </c>
      <c r="B192">
        <v>2018</v>
      </c>
      <c r="C192" t="s">
        <v>37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>
        <v>142.9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">
      <c r="A193" t="s">
        <v>34</v>
      </c>
      <c r="B193">
        <v>2018</v>
      </c>
      <c r="C193" t="s">
        <v>37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>
        <v>142.9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">
      <c r="A194" t="s">
        <v>30</v>
      </c>
      <c r="B194">
        <v>2018</v>
      </c>
      <c r="C194" t="s">
        <v>38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">
      <c r="A195" t="s">
        <v>33</v>
      </c>
      <c r="B195">
        <v>2018</v>
      </c>
      <c r="C195" t="s">
        <v>38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>
        <v>143.19999999999999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">
      <c r="A196" t="s">
        <v>34</v>
      </c>
      <c r="B196">
        <v>2018</v>
      </c>
      <c r="C196" t="s">
        <v>38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>
        <v>143.19999999999999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">
      <c r="A197" t="s">
        <v>30</v>
      </c>
      <c r="B197">
        <v>2018</v>
      </c>
      <c r="C197" t="s">
        <v>39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">
      <c r="A198" t="s">
        <v>33</v>
      </c>
      <c r="B198">
        <v>2018</v>
      </c>
      <c r="C198" t="s">
        <v>39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>
        <v>142.5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">
      <c r="A199" t="s">
        <v>34</v>
      </c>
      <c r="B199">
        <v>2018</v>
      </c>
      <c r="C199" t="s">
        <v>39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>
        <v>142.5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">
      <c r="A200" t="s">
        <v>30</v>
      </c>
      <c r="B200">
        <v>2018</v>
      </c>
      <c r="C200" t="s">
        <v>40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">
      <c r="A201" t="s">
        <v>33</v>
      </c>
      <c r="B201">
        <v>2018</v>
      </c>
      <c r="C201" t="s">
        <v>40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>
        <v>143.6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">
      <c r="A202" t="s">
        <v>34</v>
      </c>
      <c r="B202">
        <v>2018</v>
      </c>
      <c r="C202" t="s">
        <v>40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>
        <v>143.6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">
      <c r="A203" t="s">
        <v>30</v>
      </c>
      <c r="B203">
        <v>2018</v>
      </c>
      <c r="C203" t="s">
        <v>41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">
      <c r="A204" t="s">
        <v>33</v>
      </c>
      <c r="B204">
        <v>2018</v>
      </c>
      <c r="C204" t="s">
        <v>41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>
        <v>144.6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">
      <c r="A205" t="s">
        <v>34</v>
      </c>
      <c r="B205">
        <v>2018</v>
      </c>
      <c r="C205" t="s">
        <v>41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>
        <v>144.6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">
      <c r="A206" t="s">
        <v>30</v>
      </c>
      <c r="B206">
        <v>2018</v>
      </c>
      <c r="C206" t="s">
        <v>42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">
      <c r="A207" t="s">
        <v>33</v>
      </c>
      <c r="B207">
        <v>2018</v>
      </c>
      <c r="C207" t="s">
        <v>42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>
        <v>145.30000000000001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">
      <c r="A208" t="s">
        <v>34</v>
      </c>
      <c r="B208">
        <v>2018</v>
      </c>
      <c r="C208" t="s">
        <v>42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>
        <v>145.30000000000001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">
      <c r="A209" t="s">
        <v>30</v>
      </c>
      <c r="B209">
        <v>2018</v>
      </c>
      <c r="C209" t="s">
        <v>43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">
      <c r="A210" t="s">
        <v>33</v>
      </c>
      <c r="B210">
        <v>2018</v>
      </c>
      <c r="C210" t="s">
        <v>43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>
        <v>146.30000000000001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">
      <c r="A211" t="s">
        <v>34</v>
      </c>
      <c r="B211">
        <v>2018</v>
      </c>
      <c r="C211" t="s">
        <v>43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>
        <v>146.9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">
      <c r="A212" t="s">
        <v>30</v>
      </c>
      <c r="B212">
        <v>2018</v>
      </c>
      <c r="C212" t="s">
        <v>45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">
      <c r="A213" t="s">
        <v>33</v>
      </c>
      <c r="B213">
        <v>2018</v>
      </c>
      <c r="C213" t="s">
        <v>45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>
        <v>146.9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">
      <c r="A214" t="s">
        <v>34</v>
      </c>
      <c r="B214">
        <v>2018</v>
      </c>
      <c r="C214" t="s">
        <v>45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>
        <v>146.9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">
      <c r="A215" t="s">
        <v>30</v>
      </c>
      <c r="B215">
        <v>2018</v>
      </c>
      <c r="C215" t="s">
        <v>46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">
      <c r="A216" t="s">
        <v>33</v>
      </c>
      <c r="B216">
        <v>2018</v>
      </c>
      <c r="C216" t="s">
        <v>46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>
        <v>146.5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">
      <c r="A217" t="s">
        <v>34</v>
      </c>
      <c r="B217">
        <v>2018</v>
      </c>
      <c r="C217" t="s">
        <v>46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>
        <v>146.5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>
        <v>147.69999999999999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">
      <c r="A220" t="s">
        <v>34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>
        <v>147.69999999999999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">
      <c r="A221" t="s">
        <v>30</v>
      </c>
      <c r="B221">
        <v>2019</v>
      </c>
      <c r="C221" t="s">
        <v>35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">
      <c r="A222" t="s">
        <v>33</v>
      </c>
      <c r="B222">
        <v>2019</v>
      </c>
      <c r="C222" t="s">
        <v>35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>
        <v>148.5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">
      <c r="A223" t="s">
        <v>34</v>
      </c>
      <c r="B223">
        <v>2019</v>
      </c>
      <c r="C223" t="s">
        <v>35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>
        <v>148.5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">
      <c r="A224" t="s">
        <v>30</v>
      </c>
      <c r="B224">
        <v>2019</v>
      </c>
      <c r="C224" t="s">
        <v>36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">
      <c r="A225" t="s">
        <v>33</v>
      </c>
      <c r="B225">
        <v>2019</v>
      </c>
      <c r="C225" t="s">
        <v>36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>
        <v>149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">
      <c r="A226" t="s">
        <v>34</v>
      </c>
      <c r="B226">
        <v>2019</v>
      </c>
      <c r="C226" t="s">
        <v>36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>
        <v>149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">
      <c r="A227" t="s">
        <v>30</v>
      </c>
      <c r="B227">
        <v>2019</v>
      </c>
      <c r="C227" t="s">
        <v>38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">
      <c r="A228" t="s">
        <v>33</v>
      </c>
      <c r="B228">
        <v>2019</v>
      </c>
      <c r="C228" t="s">
        <v>38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>
        <v>150.1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">
      <c r="A229" t="s">
        <v>34</v>
      </c>
      <c r="B229">
        <v>2019</v>
      </c>
      <c r="C229" t="s">
        <v>38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>
        <v>150.1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">
      <c r="A230" t="s">
        <v>30</v>
      </c>
      <c r="B230">
        <v>2019</v>
      </c>
      <c r="C230" t="s">
        <v>39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">
      <c r="A231" t="s">
        <v>33</v>
      </c>
      <c r="B231">
        <v>2019</v>
      </c>
      <c r="C231" t="s">
        <v>39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>
        <v>149.4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">
      <c r="A232" t="s">
        <v>34</v>
      </c>
      <c r="B232">
        <v>2019</v>
      </c>
      <c r="C232" t="s">
        <v>39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>
        <v>149.4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">
      <c r="A233" t="s">
        <v>30</v>
      </c>
      <c r="B233">
        <v>2019</v>
      </c>
      <c r="C233" t="s">
        <v>40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">
      <c r="A234" t="s">
        <v>33</v>
      </c>
      <c r="B234">
        <v>2019</v>
      </c>
      <c r="C234" t="s">
        <v>40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>
        <v>150.6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">
      <c r="A235" t="s">
        <v>34</v>
      </c>
      <c r="B235">
        <v>2019</v>
      </c>
      <c r="C235" t="s">
        <v>40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>
        <v>150.6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">
      <c r="A236" t="s">
        <v>30</v>
      </c>
      <c r="B236">
        <v>2019</v>
      </c>
      <c r="C236" t="s">
        <v>41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">
      <c r="A237" t="s">
        <v>33</v>
      </c>
      <c r="B237">
        <v>2019</v>
      </c>
      <c r="C237" t="s">
        <v>41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>
        <v>151.6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">
      <c r="A238" t="s">
        <v>34</v>
      </c>
      <c r="B238">
        <v>2019</v>
      </c>
      <c r="C238" t="s">
        <v>41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>
        <v>151.6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">
      <c r="A239" t="s">
        <v>30</v>
      </c>
      <c r="B239">
        <v>2019</v>
      </c>
      <c r="C239" t="s">
        <v>42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">
      <c r="A240" t="s">
        <v>33</v>
      </c>
      <c r="B240">
        <v>2019</v>
      </c>
      <c r="C240" t="s">
        <v>42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>
        <v>152.19999999999999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">
      <c r="A241" t="s">
        <v>34</v>
      </c>
      <c r="B241">
        <v>2019</v>
      </c>
      <c r="C241" t="s">
        <v>42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>
        <v>152.19999999999999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">
      <c r="A242" t="s">
        <v>30</v>
      </c>
      <c r="B242">
        <v>2019</v>
      </c>
      <c r="C242" t="s">
        <v>43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">
      <c r="A243" t="s">
        <v>33</v>
      </c>
      <c r="B243">
        <v>2019</v>
      </c>
      <c r="C243" t="s">
        <v>43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>
        <v>153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">
      <c r="A244" t="s">
        <v>34</v>
      </c>
      <c r="B244">
        <v>2019</v>
      </c>
      <c r="C244" t="s">
        <v>43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>
        <v>153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">
      <c r="A245" t="s">
        <v>30</v>
      </c>
      <c r="B245">
        <v>2019</v>
      </c>
      <c r="C245" t="s">
        <v>45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">
      <c r="A246" t="s">
        <v>33</v>
      </c>
      <c r="B246">
        <v>2019</v>
      </c>
      <c r="C246" t="s">
        <v>45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>
        <v>153.5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">
      <c r="A247" t="s">
        <v>34</v>
      </c>
      <c r="B247">
        <v>2019</v>
      </c>
      <c r="C247" t="s">
        <v>45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>
        <v>153.5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">
      <c r="A248" t="s">
        <v>30</v>
      </c>
      <c r="B248">
        <v>2019</v>
      </c>
      <c r="C248" t="s">
        <v>46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">
      <c r="A249" t="s">
        <v>33</v>
      </c>
      <c r="B249">
        <v>2019</v>
      </c>
      <c r="C249" t="s">
        <v>46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>
        <v>152.80000000000001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">
      <c r="A250" t="s">
        <v>34</v>
      </c>
      <c r="B250">
        <v>2019</v>
      </c>
      <c r="C250" t="s">
        <v>46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>
        <v>152.80000000000001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>
        <v>153.9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">
      <c r="A253" t="s">
        <v>34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>
        <v>153.9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">
      <c r="A254" t="s">
        <v>30</v>
      </c>
      <c r="B254">
        <v>2020</v>
      </c>
      <c r="C254" t="s">
        <v>35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">
      <c r="A255" t="s">
        <v>33</v>
      </c>
      <c r="B255">
        <v>2020</v>
      </c>
      <c r="C255" t="s">
        <v>35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>
        <v>154.80000000000001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">
      <c r="A256" t="s">
        <v>34</v>
      </c>
      <c r="B256">
        <v>2020</v>
      </c>
      <c r="C256" t="s">
        <v>35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>
        <v>154.80000000000001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">
      <c r="A257" t="s">
        <v>30</v>
      </c>
      <c r="B257">
        <v>2020</v>
      </c>
      <c r="C257" t="s">
        <v>36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">
      <c r="A258" t="s">
        <v>33</v>
      </c>
      <c r="B258">
        <v>2020</v>
      </c>
      <c r="C258" t="s">
        <v>36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>
        <v>154.5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">
      <c r="A259" t="s">
        <v>34</v>
      </c>
      <c r="B259">
        <v>2020</v>
      </c>
      <c r="C259" t="s">
        <v>36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>
        <v>154.5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">
      <c r="A260" t="s">
        <v>30</v>
      </c>
      <c r="B260">
        <v>2020</v>
      </c>
      <c r="C260" t="s">
        <v>37</v>
      </c>
      <c r="D260">
        <v>147.19999999999999</v>
      </c>
      <c r="E260" t="s">
        <v>32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O260" t="s">
        <v>32</v>
      </c>
      <c r="P260">
        <v>150.1</v>
      </c>
      <c r="Q260" t="s">
        <v>32</v>
      </c>
      <c r="R260" t="s">
        <v>32</v>
      </c>
      <c r="S260" t="s">
        <v>32</v>
      </c>
      <c r="T260" t="s">
        <v>32</v>
      </c>
      <c r="U260" t="s">
        <v>32</v>
      </c>
      <c r="V260">
        <v>148.4</v>
      </c>
      <c r="W260" t="s">
        <v>32</v>
      </c>
      <c r="X260">
        <v>154.30000000000001</v>
      </c>
      <c r="Y260" t="s">
        <v>32</v>
      </c>
      <c r="Z260" t="s">
        <v>32</v>
      </c>
      <c r="AA260" t="s">
        <v>32</v>
      </c>
      <c r="AB260" t="s">
        <v>32</v>
      </c>
      <c r="AC260" t="s">
        <v>32</v>
      </c>
      <c r="AD260" t="s">
        <v>32</v>
      </c>
    </row>
    <row r="261" spans="1:30" x14ac:dyDescent="0.3">
      <c r="A261" t="s">
        <v>33</v>
      </c>
      <c r="B261">
        <v>2020</v>
      </c>
      <c r="C261" t="s">
        <v>37</v>
      </c>
      <c r="D261">
        <v>151.80000000000001</v>
      </c>
      <c r="E261" t="s">
        <v>32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O261" t="s">
        <v>32</v>
      </c>
      <c r="P261">
        <v>153.5</v>
      </c>
      <c r="Q261" t="s">
        <v>32</v>
      </c>
      <c r="R261" t="s">
        <v>32</v>
      </c>
      <c r="S261" t="s">
        <v>32</v>
      </c>
      <c r="T261" t="s">
        <v>32</v>
      </c>
      <c r="U261">
        <v>155.6</v>
      </c>
      <c r="V261">
        <v>137.1</v>
      </c>
      <c r="W261" t="s">
        <v>32</v>
      </c>
      <c r="X261">
        <v>144.80000000000001</v>
      </c>
      <c r="Y261" t="s">
        <v>32</v>
      </c>
      <c r="Z261" t="s">
        <v>32</v>
      </c>
      <c r="AA261" t="s">
        <v>32</v>
      </c>
      <c r="AB261" t="s">
        <v>32</v>
      </c>
      <c r="AC261" t="s">
        <v>32</v>
      </c>
      <c r="AD261" t="s">
        <v>32</v>
      </c>
    </row>
    <row r="262" spans="1:30" x14ac:dyDescent="0.3">
      <c r="A262" t="s">
        <v>34</v>
      </c>
      <c r="B262">
        <v>2020</v>
      </c>
      <c r="C262" t="s">
        <v>37</v>
      </c>
      <c r="D262">
        <v>148.69999999999999</v>
      </c>
      <c r="E262" t="s">
        <v>32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O262" t="s">
        <v>32</v>
      </c>
      <c r="P262">
        <v>151.4</v>
      </c>
      <c r="Q262" t="s">
        <v>32</v>
      </c>
      <c r="R262" t="s">
        <v>32</v>
      </c>
      <c r="S262" t="s">
        <v>32</v>
      </c>
      <c r="T262" t="s">
        <v>32</v>
      </c>
      <c r="U262">
        <v>155.6</v>
      </c>
      <c r="V262">
        <v>144.1</v>
      </c>
      <c r="W262" t="s">
        <v>32</v>
      </c>
      <c r="X262">
        <v>150.69999999999999</v>
      </c>
      <c r="Y262" t="s">
        <v>32</v>
      </c>
      <c r="Z262" t="s">
        <v>32</v>
      </c>
      <c r="AA262" t="s">
        <v>32</v>
      </c>
      <c r="AB262" t="s">
        <v>32</v>
      </c>
      <c r="AC262" t="s">
        <v>32</v>
      </c>
      <c r="AD262" t="s">
        <v>32</v>
      </c>
    </row>
    <row r="263" spans="1:30" x14ac:dyDescent="0.3">
      <c r="A263" t="s">
        <v>30</v>
      </c>
      <c r="B263">
        <v>2020</v>
      </c>
      <c r="C263" t="s">
        <v>38</v>
      </c>
      <c r="D263" t="s">
        <v>32</v>
      </c>
      <c r="E263" t="s">
        <v>32</v>
      </c>
      <c r="F263" t="s">
        <v>32</v>
      </c>
      <c r="G263" t="s">
        <v>32</v>
      </c>
      <c r="H263" t="s">
        <v>32</v>
      </c>
      <c r="I263" t="s">
        <v>32</v>
      </c>
      <c r="J263" t="s">
        <v>32</v>
      </c>
      <c r="K263" t="s">
        <v>32</v>
      </c>
      <c r="L263" t="s">
        <v>32</v>
      </c>
      <c r="M263" t="s">
        <v>32</v>
      </c>
      <c r="N263" t="s">
        <v>32</v>
      </c>
      <c r="O263" t="s">
        <v>32</v>
      </c>
      <c r="P263" t="s">
        <v>32</v>
      </c>
      <c r="Q263" t="s">
        <v>32</v>
      </c>
      <c r="R263" t="s">
        <v>32</v>
      </c>
      <c r="S263" t="s">
        <v>32</v>
      </c>
      <c r="T263" t="s">
        <v>32</v>
      </c>
      <c r="U263" t="s">
        <v>32</v>
      </c>
      <c r="V263" t="s">
        <v>32</v>
      </c>
      <c r="W263" t="s">
        <v>32</v>
      </c>
      <c r="X263" t="s">
        <v>32</v>
      </c>
      <c r="Y263" t="s">
        <v>32</v>
      </c>
      <c r="Z263" t="s">
        <v>32</v>
      </c>
      <c r="AA263" t="s">
        <v>32</v>
      </c>
      <c r="AB263" t="s">
        <v>32</v>
      </c>
      <c r="AC263" t="s">
        <v>32</v>
      </c>
      <c r="AD263" t="s">
        <v>32</v>
      </c>
    </row>
    <row r="264" spans="1:30" x14ac:dyDescent="0.3">
      <c r="A264" t="s">
        <v>33</v>
      </c>
      <c r="B264">
        <v>2020</v>
      </c>
      <c r="C264" t="s">
        <v>38</v>
      </c>
      <c r="D264" t="s">
        <v>32</v>
      </c>
      <c r="E264" t="s">
        <v>32</v>
      </c>
      <c r="F264" t="s">
        <v>32</v>
      </c>
      <c r="G264" t="s">
        <v>32</v>
      </c>
      <c r="H264" t="s">
        <v>32</v>
      </c>
      <c r="I264" t="s">
        <v>32</v>
      </c>
      <c r="J264" t="s">
        <v>32</v>
      </c>
      <c r="K264" t="s">
        <v>32</v>
      </c>
      <c r="L264" t="s">
        <v>32</v>
      </c>
      <c r="M264" t="s">
        <v>32</v>
      </c>
      <c r="N264" t="s">
        <v>32</v>
      </c>
      <c r="O264" t="s">
        <v>32</v>
      </c>
      <c r="P264" t="s">
        <v>32</v>
      </c>
      <c r="Q264" t="s">
        <v>32</v>
      </c>
      <c r="R264" t="s">
        <v>32</v>
      </c>
      <c r="S264" t="s">
        <v>32</v>
      </c>
      <c r="T264" t="s">
        <v>32</v>
      </c>
      <c r="U264" t="s">
        <v>32</v>
      </c>
      <c r="V264" t="s">
        <v>32</v>
      </c>
      <c r="W264" t="s">
        <v>32</v>
      </c>
      <c r="X264" t="s">
        <v>32</v>
      </c>
      <c r="Y264" t="s">
        <v>32</v>
      </c>
      <c r="Z264" t="s">
        <v>32</v>
      </c>
      <c r="AA264" t="s">
        <v>32</v>
      </c>
      <c r="AB264" t="s">
        <v>32</v>
      </c>
      <c r="AC264" t="s">
        <v>32</v>
      </c>
      <c r="AD264" t="s">
        <v>32</v>
      </c>
    </row>
    <row r="265" spans="1:30" x14ac:dyDescent="0.3">
      <c r="A265" t="s">
        <v>34</v>
      </c>
      <c r="B265">
        <v>2020</v>
      </c>
      <c r="C265" t="s">
        <v>38</v>
      </c>
      <c r="D265" t="s">
        <v>32</v>
      </c>
      <c r="E265" t="s">
        <v>32</v>
      </c>
      <c r="F265" t="s">
        <v>32</v>
      </c>
      <c r="G265" t="s">
        <v>32</v>
      </c>
      <c r="H265" t="s">
        <v>32</v>
      </c>
      <c r="I265" t="s">
        <v>32</v>
      </c>
      <c r="J265" t="s">
        <v>32</v>
      </c>
      <c r="K265" t="s">
        <v>32</v>
      </c>
      <c r="L265" t="s">
        <v>32</v>
      </c>
      <c r="M265" t="s">
        <v>32</v>
      </c>
      <c r="N265" t="s">
        <v>32</v>
      </c>
      <c r="O265" t="s">
        <v>32</v>
      </c>
      <c r="P265" t="s">
        <v>32</v>
      </c>
      <c r="Q265" t="s">
        <v>32</v>
      </c>
      <c r="R265" t="s">
        <v>32</v>
      </c>
      <c r="S265" t="s">
        <v>32</v>
      </c>
      <c r="T265" t="s">
        <v>32</v>
      </c>
      <c r="U265" t="s">
        <v>32</v>
      </c>
      <c r="V265" t="s">
        <v>32</v>
      </c>
      <c r="W265" t="s">
        <v>32</v>
      </c>
      <c r="X265" t="s">
        <v>32</v>
      </c>
      <c r="Y265" t="s">
        <v>32</v>
      </c>
      <c r="Z265" t="s">
        <v>32</v>
      </c>
      <c r="AA265" t="s">
        <v>32</v>
      </c>
      <c r="AB265" t="s">
        <v>32</v>
      </c>
      <c r="AC265" t="s">
        <v>32</v>
      </c>
      <c r="AD265" t="s">
        <v>32</v>
      </c>
    </row>
    <row r="266" spans="1:30" x14ac:dyDescent="0.3">
      <c r="A266" t="s">
        <v>30</v>
      </c>
      <c r="B266">
        <v>2020</v>
      </c>
      <c r="C266" t="s">
        <v>39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3">
      <c r="A267" t="s">
        <v>33</v>
      </c>
      <c r="B267">
        <v>2020</v>
      </c>
      <c r="C267" t="s">
        <v>39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>
        <v>154.69999999999999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3">
      <c r="A268" t="s">
        <v>34</v>
      </c>
      <c r="B268">
        <v>2020</v>
      </c>
      <c r="C268" t="s">
        <v>39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>
        <v>154.69999999999999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3">
      <c r="A269" t="s">
        <v>30</v>
      </c>
      <c r="B269">
        <v>2020</v>
      </c>
      <c r="C269" t="s">
        <v>40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3">
      <c r="A270" t="s">
        <v>33</v>
      </c>
      <c r="B270">
        <v>2020</v>
      </c>
      <c r="C270" t="s">
        <v>40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>
        <v>154.69999999999999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3">
      <c r="A271" t="s">
        <v>34</v>
      </c>
      <c r="B271">
        <v>2020</v>
      </c>
      <c r="C271" t="s">
        <v>40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>
        <v>154.69999999999999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3">
      <c r="A272" t="s">
        <v>30</v>
      </c>
      <c r="B272">
        <v>2020</v>
      </c>
      <c r="C272" t="s">
        <v>41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3">
      <c r="A273" t="s">
        <v>33</v>
      </c>
      <c r="B273">
        <v>2020</v>
      </c>
      <c r="C273" t="s">
        <v>41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>
        <v>155.5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3">
      <c r="A274" t="s">
        <v>34</v>
      </c>
      <c r="B274">
        <v>2020</v>
      </c>
      <c r="C274" t="s">
        <v>41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>
        <v>155.5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3">
      <c r="A275" t="s">
        <v>30</v>
      </c>
      <c r="B275">
        <v>2020</v>
      </c>
      <c r="C275" t="s">
        <v>42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3">
      <c r="A276" t="s">
        <v>33</v>
      </c>
      <c r="B276">
        <v>2020</v>
      </c>
      <c r="C276" t="s">
        <v>42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>
        <v>156.30000000000001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3">
      <c r="A277" t="s">
        <v>34</v>
      </c>
      <c r="B277">
        <v>2020</v>
      </c>
      <c r="C277" t="s">
        <v>42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>
        <v>156.30000000000001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3">
      <c r="A278" t="s">
        <v>30</v>
      </c>
      <c r="B278">
        <v>2020</v>
      </c>
      <c r="C278" t="s">
        <v>43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3">
      <c r="A279" t="s">
        <v>33</v>
      </c>
      <c r="B279">
        <v>2020</v>
      </c>
      <c r="C279" t="s">
        <v>43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>
        <v>156.5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3">
      <c r="A280" t="s">
        <v>34</v>
      </c>
      <c r="B280">
        <v>2020</v>
      </c>
      <c r="C280" t="s">
        <v>43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>
        <v>156.5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3">
      <c r="A281" t="s">
        <v>30</v>
      </c>
      <c r="B281">
        <v>2020</v>
      </c>
      <c r="C281" t="s">
        <v>45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3">
      <c r="A282" t="s">
        <v>33</v>
      </c>
      <c r="B282">
        <v>2020</v>
      </c>
      <c r="C282" t="s">
        <v>45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>
        <v>158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3">
      <c r="A283" t="s">
        <v>34</v>
      </c>
      <c r="B283">
        <v>2020</v>
      </c>
      <c r="C283" t="s">
        <v>45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>
        <v>158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3">
      <c r="A284" t="s">
        <v>30</v>
      </c>
      <c r="B284">
        <v>2020</v>
      </c>
      <c r="C284" t="s">
        <v>46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3">
      <c r="A285" t="s">
        <v>33</v>
      </c>
      <c r="B285">
        <v>2020</v>
      </c>
      <c r="C285" t="s">
        <v>46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>
        <v>158.4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3">
      <c r="A286" t="s">
        <v>34</v>
      </c>
      <c r="B286">
        <v>2020</v>
      </c>
      <c r="C286" t="s">
        <v>46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>
        <v>158.4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3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3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>
        <v>157.69999999999999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3">
      <c r="A289" t="s">
        <v>34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>
        <v>157.69999999999999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3">
      <c r="A290" t="s">
        <v>30</v>
      </c>
      <c r="B290">
        <v>2021</v>
      </c>
      <c r="C290" t="s">
        <v>35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3">
      <c r="A291" t="s">
        <v>33</v>
      </c>
      <c r="B291">
        <v>2021</v>
      </c>
      <c r="C291" t="s">
        <v>35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>
        <v>159.80000000000001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3">
      <c r="A292" t="s">
        <v>34</v>
      </c>
      <c r="B292">
        <v>2021</v>
      </c>
      <c r="C292" t="s">
        <v>35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>
        <v>159.80000000000001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3">
      <c r="A293" t="s">
        <v>30</v>
      </c>
      <c r="B293">
        <v>2021</v>
      </c>
      <c r="C293" t="s">
        <v>36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48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3">
      <c r="A294" t="s">
        <v>33</v>
      </c>
      <c r="B294">
        <v>2021</v>
      </c>
      <c r="C294" t="s">
        <v>36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>
        <v>159.9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3">
      <c r="A295" t="s">
        <v>34</v>
      </c>
      <c r="B295">
        <v>2021</v>
      </c>
      <c r="C295" t="s">
        <v>36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>
        <v>159.9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3">
      <c r="A296" t="s">
        <v>30</v>
      </c>
      <c r="B296">
        <v>2021</v>
      </c>
      <c r="C296" t="s">
        <v>37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48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3">
      <c r="A297" t="s">
        <v>33</v>
      </c>
      <c r="B297">
        <v>2021</v>
      </c>
      <c r="C297" t="s">
        <v>37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>
        <v>161.4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3">
      <c r="A298" t="s">
        <v>34</v>
      </c>
      <c r="B298">
        <v>2021</v>
      </c>
      <c r="C298" t="s">
        <v>37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>
        <v>161.4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3">
      <c r="A299" t="s">
        <v>30</v>
      </c>
      <c r="B299">
        <v>2021</v>
      </c>
      <c r="C299" t="s">
        <v>38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3">
      <c r="A300" t="s">
        <v>33</v>
      </c>
      <c r="B300">
        <v>2021</v>
      </c>
      <c r="C300" t="s">
        <v>38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>
        <v>161.6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3">
      <c r="A301" t="s">
        <v>34</v>
      </c>
      <c r="B301">
        <v>2021</v>
      </c>
      <c r="C301" t="s">
        <v>38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>
        <v>161.6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3">
      <c r="A302" t="s">
        <v>30</v>
      </c>
      <c r="B302">
        <v>2021</v>
      </c>
      <c r="C302" t="s">
        <v>39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3">
      <c r="A303" t="s">
        <v>33</v>
      </c>
      <c r="B303">
        <v>2021</v>
      </c>
      <c r="C303" t="s">
        <v>39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>
        <v>160.5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3">
      <c r="A304" t="s">
        <v>34</v>
      </c>
      <c r="B304">
        <v>2021</v>
      </c>
      <c r="C304" t="s">
        <v>39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>
        <v>160.5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3">
      <c r="A305" t="s">
        <v>30</v>
      </c>
      <c r="B305">
        <v>2021</v>
      </c>
      <c r="C305" t="s">
        <v>40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3">
      <c r="A306" t="s">
        <v>33</v>
      </c>
      <c r="B306">
        <v>2021</v>
      </c>
      <c r="C306" t="s">
        <v>40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>
        <v>161.5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3">
      <c r="A307" t="s">
        <v>34</v>
      </c>
      <c r="B307">
        <v>2021</v>
      </c>
      <c r="C307" t="s">
        <v>40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>
        <v>161.5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3">
      <c r="A308" t="s">
        <v>30</v>
      </c>
      <c r="B308">
        <v>2021</v>
      </c>
      <c r="C308" t="s">
        <v>41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3">
      <c r="A309" t="s">
        <v>33</v>
      </c>
      <c r="B309">
        <v>2021</v>
      </c>
      <c r="C309" t="s">
        <v>41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>
        <v>162.1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3">
      <c r="A310" t="s">
        <v>34</v>
      </c>
      <c r="B310">
        <v>2021</v>
      </c>
      <c r="C310" t="s">
        <v>41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>
        <v>162.1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3">
      <c r="A311" t="s">
        <v>30</v>
      </c>
      <c r="B311">
        <v>2021</v>
      </c>
      <c r="C311" t="s">
        <v>42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3">
      <c r="A312" t="s">
        <v>33</v>
      </c>
      <c r="B312">
        <v>2021</v>
      </c>
      <c r="C312" t="s">
        <v>42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>
        <v>162.1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3">
      <c r="A313" t="s">
        <v>34</v>
      </c>
      <c r="B313">
        <v>2021</v>
      </c>
      <c r="C313" t="s">
        <v>42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>
        <v>162.1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3">
      <c r="A314" t="s">
        <v>30</v>
      </c>
      <c r="B314">
        <v>2021</v>
      </c>
      <c r="C314" t="s">
        <v>43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3">
      <c r="A315" t="s">
        <v>33</v>
      </c>
      <c r="B315">
        <v>2021</v>
      </c>
      <c r="C315" t="s">
        <v>43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>
        <v>163.6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3">
      <c r="A316" t="s">
        <v>34</v>
      </c>
      <c r="B316">
        <v>2021</v>
      </c>
      <c r="C316" t="s">
        <v>43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>
        <v>163.6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3">
      <c r="A317" t="s">
        <v>30</v>
      </c>
      <c r="B317">
        <v>2021</v>
      </c>
      <c r="C317" t="s">
        <v>45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3">
      <c r="A318" t="s">
        <v>33</v>
      </c>
      <c r="B318">
        <v>2021</v>
      </c>
      <c r="C318" t="s">
        <v>45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>
        <v>164.2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3">
      <c r="A319" t="s">
        <v>34</v>
      </c>
      <c r="B319">
        <v>2021</v>
      </c>
      <c r="C319" t="s">
        <v>45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>
        <v>164.2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3">
      <c r="A320" t="s">
        <v>30</v>
      </c>
      <c r="B320">
        <v>2021</v>
      </c>
      <c r="C320" t="s">
        <v>46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3">
      <c r="A321" t="s">
        <v>33</v>
      </c>
      <c r="B321">
        <v>2021</v>
      </c>
      <c r="C321" t="s">
        <v>46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>
        <v>163.4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3">
      <c r="A322" t="s">
        <v>34</v>
      </c>
      <c r="B322">
        <v>2021</v>
      </c>
      <c r="C322" t="s">
        <v>46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>
        <v>163.4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3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3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>
        <v>164.5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3">
      <c r="A325" t="s">
        <v>34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>
        <v>164.5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3">
      <c r="A326" t="s">
        <v>30</v>
      </c>
      <c r="B326">
        <v>2022</v>
      </c>
      <c r="C326" t="s">
        <v>35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3">
      <c r="A327" t="s">
        <v>33</v>
      </c>
      <c r="B327">
        <v>2022</v>
      </c>
      <c r="C327" t="s">
        <v>35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>
        <v>165.5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3">
      <c r="A328" t="s">
        <v>34</v>
      </c>
      <c r="B328">
        <v>2022</v>
      </c>
      <c r="C328" t="s">
        <v>35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>
        <v>165.5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3">
      <c r="A329" t="s">
        <v>30</v>
      </c>
      <c r="B329">
        <v>2022</v>
      </c>
      <c r="C329" t="s">
        <v>36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3">
      <c r="A330" t="s">
        <v>33</v>
      </c>
      <c r="B330">
        <v>2022</v>
      </c>
      <c r="C330" t="s">
        <v>36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>
        <v>165.3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3">
      <c r="A331" t="s">
        <v>34</v>
      </c>
      <c r="B331">
        <v>2022</v>
      </c>
      <c r="C331" t="s">
        <v>36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>
        <v>165.3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3">
      <c r="A332" t="s">
        <v>30</v>
      </c>
      <c r="B332">
        <v>2022</v>
      </c>
      <c r="C332" t="s">
        <v>37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3">
      <c r="A333" t="s">
        <v>33</v>
      </c>
      <c r="B333">
        <v>2022</v>
      </c>
      <c r="C333" t="s">
        <v>37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>
        <v>167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3">
      <c r="A334" t="s">
        <v>34</v>
      </c>
      <c r="B334">
        <v>2022</v>
      </c>
      <c r="C334" t="s">
        <v>37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>
        <v>167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3">
      <c r="A335" t="s">
        <v>30</v>
      </c>
      <c r="B335">
        <v>2022</v>
      </c>
      <c r="C335" t="s">
        <v>38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3">
      <c r="A336" t="s">
        <v>33</v>
      </c>
      <c r="B336">
        <v>2022</v>
      </c>
      <c r="C336" t="s">
        <v>38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>
        <v>167.5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3">
      <c r="A337" t="s">
        <v>34</v>
      </c>
      <c r="B337">
        <v>2022</v>
      </c>
      <c r="C337" t="s">
        <v>38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>
        <v>167.5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3">
      <c r="A338" t="s">
        <v>30</v>
      </c>
      <c r="B338">
        <v>2022</v>
      </c>
      <c r="C338" t="s">
        <v>39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3">
      <c r="A339" t="s">
        <v>33</v>
      </c>
      <c r="B339">
        <v>2022</v>
      </c>
      <c r="C339" t="s">
        <v>39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>
        <v>166.8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3">
      <c r="A340" t="s">
        <v>34</v>
      </c>
      <c r="B340">
        <v>2022</v>
      </c>
      <c r="C340" t="s">
        <v>39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>
        <v>166.8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3">
      <c r="A341" t="s">
        <v>30</v>
      </c>
      <c r="B341">
        <v>2022</v>
      </c>
      <c r="C341" t="s">
        <v>40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3">
      <c r="A342" t="s">
        <v>33</v>
      </c>
      <c r="B342">
        <v>2022</v>
      </c>
      <c r="C342" t="s">
        <v>40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>
        <v>167.8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3">
      <c r="A343" t="s">
        <v>34</v>
      </c>
      <c r="B343">
        <v>2022</v>
      </c>
      <c r="C343" t="s">
        <v>40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>
        <v>167.8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3">
      <c r="A344" t="s">
        <v>30</v>
      </c>
      <c r="B344">
        <v>2022</v>
      </c>
      <c r="C344" t="s">
        <v>41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3">
      <c r="A345" t="s">
        <v>33</v>
      </c>
      <c r="B345">
        <v>2022</v>
      </c>
      <c r="C345" t="s">
        <v>41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>
        <v>169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3">
      <c r="A346" t="s">
        <v>34</v>
      </c>
      <c r="B346">
        <v>2022</v>
      </c>
      <c r="C346" t="s">
        <v>41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>
        <v>169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3">
      <c r="A347" t="s">
        <v>30</v>
      </c>
      <c r="B347">
        <v>2022</v>
      </c>
      <c r="C347" t="s">
        <v>42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3">
      <c r="A348" t="s">
        <v>33</v>
      </c>
      <c r="B348">
        <v>2022</v>
      </c>
      <c r="C348" t="s">
        <v>42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>
        <v>169.5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3">
      <c r="A349" t="s">
        <v>34</v>
      </c>
      <c r="B349">
        <v>2022</v>
      </c>
      <c r="C349" t="s">
        <v>42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>
        <v>169.5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3">
      <c r="A350" t="s">
        <v>30</v>
      </c>
      <c r="B350">
        <v>2022</v>
      </c>
      <c r="C350" t="s">
        <v>43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3">
      <c r="A351" t="s">
        <v>33</v>
      </c>
      <c r="B351">
        <v>2022</v>
      </c>
      <c r="C351" t="s">
        <v>43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>
        <v>171.2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3">
      <c r="A352" t="s">
        <v>34</v>
      </c>
      <c r="B352">
        <v>2022</v>
      </c>
      <c r="C352" t="s">
        <v>43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>
        <v>171.2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3">
      <c r="A353" t="s">
        <v>30</v>
      </c>
      <c r="B353">
        <v>2022</v>
      </c>
      <c r="C353" t="s">
        <v>45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3">
      <c r="A354" t="s">
        <v>33</v>
      </c>
      <c r="B354">
        <v>2022</v>
      </c>
      <c r="C354" t="s">
        <v>45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>
        <v>171.8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3">
      <c r="A355" t="s">
        <v>34</v>
      </c>
      <c r="B355">
        <v>2022</v>
      </c>
      <c r="C355" t="s">
        <v>45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>
        <v>171.8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3">
      <c r="A356" t="s">
        <v>30</v>
      </c>
      <c r="B356">
        <v>2022</v>
      </c>
      <c r="C356" t="s">
        <v>46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3">
      <c r="A357" t="s">
        <v>33</v>
      </c>
      <c r="B357">
        <v>2022</v>
      </c>
      <c r="C357" t="s">
        <v>46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>
        <v>170.7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3">
      <c r="A358" t="s">
        <v>34</v>
      </c>
      <c r="B358">
        <v>2022</v>
      </c>
      <c r="C358" t="s">
        <v>46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>
        <v>170.7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3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3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>
        <v>172.1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3">
      <c r="A361" t="s">
        <v>34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>
        <v>172.1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3">
      <c r="A362" t="s">
        <v>30</v>
      </c>
      <c r="B362">
        <v>2023</v>
      </c>
      <c r="C362" t="s">
        <v>35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3">
      <c r="A363" t="s">
        <v>33</v>
      </c>
      <c r="B363">
        <v>2023</v>
      </c>
      <c r="C363" t="s">
        <v>35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>
        <v>173.5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3">
      <c r="A364" t="s">
        <v>34</v>
      </c>
      <c r="B364">
        <v>2023</v>
      </c>
      <c r="C364" t="s">
        <v>35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>
        <v>173.5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3">
      <c r="A365" t="s">
        <v>30</v>
      </c>
      <c r="B365">
        <v>2023</v>
      </c>
      <c r="C365" t="s">
        <v>36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3">
      <c r="A366" t="s">
        <v>33</v>
      </c>
      <c r="B366">
        <v>2023</v>
      </c>
      <c r="C366" t="s">
        <v>36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>
        <v>173.5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3">
      <c r="A367" t="s">
        <v>34</v>
      </c>
      <c r="B367">
        <v>2023</v>
      </c>
      <c r="C367" t="s">
        <v>36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>
        <v>173.5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3">
      <c r="A368" t="s">
        <v>30</v>
      </c>
      <c r="B368">
        <v>2023</v>
      </c>
      <c r="C368" t="s">
        <v>37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48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3">
      <c r="A369" t="s">
        <v>33</v>
      </c>
      <c r="B369">
        <v>2023</v>
      </c>
      <c r="C369" t="s">
        <v>37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>
        <v>175.2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3">
      <c r="A370" t="s">
        <v>34</v>
      </c>
      <c r="B370">
        <v>2023</v>
      </c>
      <c r="C370" t="s">
        <v>37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>
        <v>175.2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3">
      <c r="A371" t="s">
        <v>30</v>
      </c>
      <c r="B371">
        <v>2023</v>
      </c>
      <c r="C371" t="s">
        <v>38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48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3">
      <c r="A372" t="s">
        <v>33</v>
      </c>
      <c r="B372">
        <v>2023</v>
      </c>
      <c r="C372" t="s">
        <v>38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>
        <v>175.6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3">
      <c r="A373" t="s">
        <v>34</v>
      </c>
      <c r="B373">
        <v>2023</v>
      </c>
      <c r="C373" t="s">
        <v>38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>
        <v>175.6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autoFilter ref="A1:AD373" xr:uid="{E67D72C3-D3E8-41BB-9FF8-B85C67F2511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C1B1-C3B2-462C-AEFE-F248F5EB67E1}">
  <sheetPr filterMode="1"/>
  <dimension ref="A1:R40"/>
  <sheetViews>
    <sheetView workbookViewId="0">
      <selection activeCell="F47" sqref="F47"/>
    </sheetView>
  </sheetViews>
  <sheetFormatPr defaultRowHeight="14.4" x14ac:dyDescent="0.3"/>
  <cols>
    <col min="1" max="1" width="11.109375" bestFit="1" customWidth="1"/>
    <col min="16" max="16" width="7.6640625" customWidth="1"/>
    <col min="17" max="17" width="12" bestFit="1" customWidth="1"/>
    <col min="18" max="18" width="24.109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29</v>
      </c>
      <c r="R1" t="s">
        <v>66</v>
      </c>
    </row>
    <row r="2" spans="1:18" hidden="1" x14ac:dyDescent="0.3">
      <c r="A2" t="s">
        <v>30</v>
      </c>
      <c r="B2">
        <v>2022</v>
      </c>
      <c r="C2" t="s">
        <v>38</v>
      </c>
      <c r="D2">
        <v>152.9</v>
      </c>
      <c r="E2">
        <v>214.7</v>
      </c>
      <c r="F2">
        <v>161.4</v>
      </c>
      <c r="G2">
        <v>164.6</v>
      </c>
      <c r="H2">
        <v>209.9</v>
      </c>
      <c r="I2">
        <v>168</v>
      </c>
      <c r="J2">
        <v>160.4</v>
      </c>
      <c r="K2">
        <v>165</v>
      </c>
      <c r="L2">
        <v>118.9</v>
      </c>
      <c r="M2">
        <v>186.6</v>
      </c>
      <c r="N2">
        <v>173.2</v>
      </c>
      <c r="O2">
        <v>180.4</v>
      </c>
      <c r="P2">
        <v>170.8</v>
      </c>
      <c r="Q2">
        <v>172.5</v>
      </c>
      <c r="R2" s="5">
        <f>AVERAGE(D2:P2)</f>
        <v>171.2923076923077</v>
      </c>
    </row>
    <row r="3" spans="1:18" hidden="1" x14ac:dyDescent="0.3">
      <c r="A3" t="s">
        <v>33</v>
      </c>
      <c r="B3">
        <v>2022</v>
      </c>
      <c r="C3" t="s">
        <v>38</v>
      </c>
      <c r="D3">
        <v>156.69999999999999</v>
      </c>
      <c r="E3">
        <v>221.2</v>
      </c>
      <c r="F3">
        <v>164.1</v>
      </c>
      <c r="G3">
        <v>165.4</v>
      </c>
      <c r="H3">
        <v>189.5</v>
      </c>
      <c r="I3">
        <v>174.5</v>
      </c>
      <c r="J3">
        <v>203.2</v>
      </c>
      <c r="K3">
        <v>164.1</v>
      </c>
      <c r="L3">
        <v>121.2</v>
      </c>
      <c r="M3">
        <v>181.4</v>
      </c>
      <c r="N3">
        <v>158.5</v>
      </c>
      <c r="O3">
        <v>184.9</v>
      </c>
      <c r="P3">
        <v>177.5</v>
      </c>
      <c r="Q3">
        <v>170.8</v>
      </c>
      <c r="R3" s="5">
        <f>AVERAGE(D3:P3)</f>
        <v>174.01538461538465</v>
      </c>
    </row>
    <row r="4" spans="1:18" x14ac:dyDescent="0.3">
      <c r="A4" t="s">
        <v>34</v>
      </c>
      <c r="B4">
        <v>2022</v>
      </c>
      <c r="C4" t="s">
        <v>38</v>
      </c>
      <c r="D4">
        <v>154.1</v>
      </c>
      <c r="E4">
        <v>217</v>
      </c>
      <c r="F4">
        <v>162.4</v>
      </c>
      <c r="G4">
        <v>164.9</v>
      </c>
      <c r="H4">
        <v>202.4</v>
      </c>
      <c r="I4">
        <v>171</v>
      </c>
      <c r="J4">
        <v>174.9</v>
      </c>
      <c r="K4">
        <v>164.7</v>
      </c>
      <c r="L4">
        <v>119.7</v>
      </c>
      <c r="M4">
        <v>184.9</v>
      </c>
      <c r="N4">
        <v>167.1</v>
      </c>
      <c r="O4">
        <v>182.5</v>
      </c>
      <c r="P4">
        <v>173.3</v>
      </c>
      <c r="Q4">
        <v>171.7</v>
      </c>
      <c r="R4" s="5">
        <f t="shared" ref="R4:R40" si="0">AVERAGE(D4:P4)</f>
        <v>172.22307692307697</v>
      </c>
    </row>
    <row r="5" spans="1:18" hidden="1" x14ac:dyDescent="0.3">
      <c r="A5" t="s">
        <v>30</v>
      </c>
      <c r="B5">
        <v>2022</v>
      </c>
      <c r="C5" t="s">
        <v>39</v>
      </c>
      <c r="D5">
        <v>153.80000000000001</v>
      </c>
      <c r="E5">
        <v>217.2</v>
      </c>
      <c r="F5">
        <v>169.6</v>
      </c>
      <c r="G5">
        <v>165.4</v>
      </c>
      <c r="H5">
        <v>208.1</v>
      </c>
      <c r="I5">
        <v>165.8</v>
      </c>
      <c r="J5">
        <v>167.3</v>
      </c>
      <c r="K5">
        <v>164.6</v>
      </c>
      <c r="L5">
        <v>119.1</v>
      </c>
      <c r="M5">
        <v>188.9</v>
      </c>
      <c r="N5">
        <v>174.2</v>
      </c>
      <c r="O5">
        <v>181.9</v>
      </c>
      <c r="P5">
        <v>172.4</v>
      </c>
      <c r="Q5">
        <v>173.6</v>
      </c>
      <c r="R5" s="5">
        <f t="shared" si="0"/>
        <v>172.94615384615386</v>
      </c>
    </row>
    <row r="6" spans="1:18" hidden="1" x14ac:dyDescent="0.3">
      <c r="A6" t="s">
        <v>33</v>
      </c>
      <c r="B6">
        <v>2022</v>
      </c>
      <c r="C6" t="s">
        <v>39</v>
      </c>
      <c r="D6">
        <v>157.5</v>
      </c>
      <c r="E6">
        <v>223.4</v>
      </c>
      <c r="F6">
        <v>172.8</v>
      </c>
      <c r="G6">
        <v>166.4</v>
      </c>
      <c r="H6">
        <v>188.6</v>
      </c>
      <c r="I6">
        <v>174.1</v>
      </c>
      <c r="J6">
        <v>211.5</v>
      </c>
      <c r="K6">
        <v>163.6</v>
      </c>
      <c r="L6">
        <v>121.4</v>
      </c>
      <c r="M6">
        <v>183.5</v>
      </c>
      <c r="N6">
        <v>159.1</v>
      </c>
      <c r="O6">
        <v>186.3</v>
      </c>
      <c r="P6">
        <v>179.3</v>
      </c>
      <c r="Q6">
        <v>171.4</v>
      </c>
      <c r="R6" s="5">
        <f t="shared" si="0"/>
        <v>175.96153846153845</v>
      </c>
    </row>
    <row r="7" spans="1:18" x14ac:dyDescent="0.3">
      <c r="A7" t="s">
        <v>34</v>
      </c>
      <c r="B7">
        <v>2022</v>
      </c>
      <c r="C7" t="s">
        <v>39</v>
      </c>
      <c r="D7">
        <v>155</v>
      </c>
      <c r="E7">
        <v>219.4</v>
      </c>
      <c r="F7">
        <v>170.8</v>
      </c>
      <c r="G7">
        <v>165.8</v>
      </c>
      <c r="H7">
        <v>200.9</v>
      </c>
      <c r="I7">
        <v>169.7</v>
      </c>
      <c r="J7">
        <v>182.3</v>
      </c>
      <c r="K7">
        <v>164.3</v>
      </c>
      <c r="L7">
        <v>119.9</v>
      </c>
      <c r="M7">
        <v>187.1</v>
      </c>
      <c r="N7">
        <v>167.9</v>
      </c>
      <c r="O7">
        <v>183.9</v>
      </c>
      <c r="P7">
        <v>174.9</v>
      </c>
      <c r="Q7">
        <v>172.6</v>
      </c>
      <c r="R7" s="5">
        <f t="shared" si="0"/>
        <v>173.99230769230769</v>
      </c>
    </row>
    <row r="8" spans="1:18" hidden="1" x14ac:dyDescent="0.3">
      <c r="A8" t="s">
        <v>30</v>
      </c>
      <c r="B8">
        <v>2022</v>
      </c>
      <c r="C8" t="s">
        <v>40</v>
      </c>
      <c r="D8">
        <v>155.19999999999999</v>
      </c>
      <c r="E8">
        <v>210.8</v>
      </c>
      <c r="F8">
        <v>174.3</v>
      </c>
      <c r="G8">
        <v>166.3</v>
      </c>
      <c r="H8">
        <v>202.2</v>
      </c>
      <c r="I8">
        <v>169.6</v>
      </c>
      <c r="J8">
        <v>168.6</v>
      </c>
      <c r="K8">
        <v>164.4</v>
      </c>
      <c r="L8">
        <v>119.2</v>
      </c>
      <c r="M8">
        <v>191.8</v>
      </c>
      <c r="N8">
        <v>174.5</v>
      </c>
      <c r="O8">
        <v>183.1</v>
      </c>
      <c r="P8">
        <v>172.5</v>
      </c>
      <c r="Q8">
        <v>174.3</v>
      </c>
      <c r="R8" s="5">
        <f t="shared" si="0"/>
        <v>173.26923076923077</v>
      </c>
    </row>
    <row r="9" spans="1:18" hidden="1" x14ac:dyDescent="0.3">
      <c r="A9" t="s">
        <v>33</v>
      </c>
      <c r="B9">
        <v>2022</v>
      </c>
      <c r="C9" t="s">
        <v>40</v>
      </c>
      <c r="D9">
        <v>159.30000000000001</v>
      </c>
      <c r="E9">
        <v>217.1</v>
      </c>
      <c r="F9">
        <v>176.6</v>
      </c>
      <c r="G9">
        <v>167.1</v>
      </c>
      <c r="H9">
        <v>184.8</v>
      </c>
      <c r="I9">
        <v>179.5</v>
      </c>
      <c r="J9">
        <v>208.5</v>
      </c>
      <c r="K9">
        <v>164</v>
      </c>
      <c r="L9">
        <v>121.5</v>
      </c>
      <c r="M9">
        <v>186.3</v>
      </c>
      <c r="N9">
        <v>159.80000000000001</v>
      </c>
      <c r="O9">
        <v>187.7</v>
      </c>
      <c r="P9">
        <v>179.4</v>
      </c>
      <c r="Q9">
        <v>172.3</v>
      </c>
      <c r="R9" s="5">
        <f t="shared" si="0"/>
        <v>176.27692307692308</v>
      </c>
    </row>
    <row r="10" spans="1:18" x14ac:dyDescent="0.3">
      <c r="A10" t="s">
        <v>34</v>
      </c>
      <c r="B10">
        <v>2022</v>
      </c>
      <c r="C10" t="s">
        <v>40</v>
      </c>
      <c r="D10">
        <v>156.5</v>
      </c>
      <c r="E10">
        <v>213</v>
      </c>
      <c r="F10">
        <v>175.2</v>
      </c>
      <c r="G10">
        <v>166.6</v>
      </c>
      <c r="H10">
        <v>195.8</v>
      </c>
      <c r="I10">
        <v>174.2</v>
      </c>
      <c r="J10">
        <v>182.1</v>
      </c>
      <c r="K10">
        <v>164.3</v>
      </c>
      <c r="L10">
        <v>120</v>
      </c>
      <c r="M10">
        <v>190</v>
      </c>
      <c r="N10">
        <v>168.4</v>
      </c>
      <c r="O10">
        <v>185.2</v>
      </c>
      <c r="P10">
        <v>175</v>
      </c>
      <c r="Q10">
        <v>173.4</v>
      </c>
      <c r="R10" s="5">
        <f t="shared" si="0"/>
        <v>174.33076923076925</v>
      </c>
    </row>
    <row r="11" spans="1:18" hidden="1" x14ac:dyDescent="0.3">
      <c r="A11" t="s">
        <v>30</v>
      </c>
      <c r="B11">
        <v>2022</v>
      </c>
      <c r="C11" t="s">
        <v>41</v>
      </c>
      <c r="D11">
        <v>159.5</v>
      </c>
      <c r="E11">
        <v>204.1</v>
      </c>
      <c r="F11">
        <v>168.3</v>
      </c>
      <c r="G11">
        <v>167.9</v>
      </c>
      <c r="H11">
        <v>198.1</v>
      </c>
      <c r="I11">
        <v>169.2</v>
      </c>
      <c r="J11">
        <v>173.1</v>
      </c>
      <c r="K11">
        <v>167.1</v>
      </c>
      <c r="L11">
        <v>120.2</v>
      </c>
      <c r="M11">
        <v>195.6</v>
      </c>
      <c r="N11">
        <v>174.8</v>
      </c>
      <c r="O11">
        <v>184</v>
      </c>
      <c r="P11">
        <v>173.9</v>
      </c>
      <c r="Q11">
        <v>175.3</v>
      </c>
      <c r="R11" s="5">
        <f t="shared" si="0"/>
        <v>173.5230769230769</v>
      </c>
    </row>
    <row r="12" spans="1:18" hidden="1" x14ac:dyDescent="0.3">
      <c r="A12" t="s">
        <v>33</v>
      </c>
      <c r="B12">
        <v>2022</v>
      </c>
      <c r="C12" t="s">
        <v>41</v>
      </c>
      <c r="D12">
        <v>162.1</v>
      </c>
      <c r="E12">
        <v>210.9</v>
      </c>
      <c r="F12">
        <v>170.6</v>
      </c>
      <c r="G12">
        <v>168.4</v>
      </c>
      <c r="H12">
        <v>182.5</v>
      </c>
      <c r="I12">
        <v>177.1</v>
      </c>
      <c r="J12">
        <v>213.1</v>
      </c>
      <c r="K12">
        <v>167.3</v>
      </c>
      <c r="L12">
        <v>122.2</v>
      </c>
      <c r="M12">
        <v>189.7</v>
      </c>
      <c r="N12">
        <v>160.5</v>
      </c>
      <c r="O12">
        <v>188.9</v>
      </c>
      <c r="P12">
        <v>180.4</v>
      </c>
      <c r="Q12">
        <v>173.1</v>
      </c>
      <c r="R12" s="5">
        <f t="shared" si="0"/>
        <v>176.43846153846152</v>
      </c>
    </row>
    <row r="13" spans="1:18" x14ac:dyDescent="0.3">
      <c r="A13" t="s">
        <v>34</v>
      </c>
      <c r="B13">
        <v>2022</v>
      </c>
      <c r="C13" t="s">
        <v>41</v>
      </c>
      <c r="D13">
        <v>160.30000000000001</v>
      </c>
      <c r="E13">
        <v>206.5</v>
      </c>
      <c r="F13">
        <v>169.2</v>
      </c>
      <c r="G13">
        <v>168.1</v>
      </c>
      <c r="H13">
        <v>192.4</v>
      </c>
      <c r="I13">
        <v>172.9</v>
      </c>
      <c r="J13">
        <v>186.7</v>
      </c>
      <c r="K13">
        <v>167.2</v>
      </c>
      <c r="L13">
        <v>120.9</v>
      </c>
      <c r="M13">
        <v>193.6</v>
      </c>
      <c r="N13">
        <v>168.8</v>
      </c>
      <c r="O13">
        <v>186.3</v>
      </c>
      <c r="P13">
        <v>176.3</v>
      </c>
      <c r="Q13">
        <v>174.3</v>
      </c>
      <c r="R13" s="5">
        <f t="shared" si="0"/>
        <v>174.55384615384617</v>
      </c>
    </row>
    <row r="14" spans="1:18" hidden="1" x14ac:dyDescent="0.3">
      <c r="A14" t="s">
        <v>30</v>
      </c>
      <c r="B14">
        <v>2022</v>
      </c>
      <c r="C14" t="s">
        <v>42</v>
      </c>
      <c r="D14">
        <v>162.9</v>
      </c>
      <c r="E14">
        <v>206.7</v>
      </c>
      <c r="F14">
        <v>169</v>
      </c>
      <c r="G14">
        <v>169.5</v>
      </c>
      <c r="H14">
        <v>194.1</v>
      </c>
      <c r="I14">
        <v>164.1</v>
      </c>
      <c r="J14">
        <v>176.9</v>
      </c>
      <c r="K14">
        <v>169</v>
      </c>
      <c r="L14">
        <v>120.8</v>
      </c>
      <c r="M14">
        <v>199.1</v>
      </c>
      <c r="N14">
        <v>175.4</v>
      </c>
      <c r="O14">
        <v>184.8</v>
      </c>
      <c r="P14">
        <v>175.5</v>
      </c>
      <c r="Q14">
        <v>176.4</v>
      </c>
      <c r="R14" s="5">
        <f t="shared" si="0"/>
        <v>174.44615384615386</v>
      </c>
    </row>
    <row r="15" spans="1:18" hidden="1" x14ac:dyDescent="0.3">
      <c r="A15" t="s">
        <v>33</v>
      </c>
      <c r="B15">
        <v>2022</v>
      </c>
      <c r="C15" t="s">
        <v>42</v>
      </c>
      <c r="D15">
        <v>164.9</v>
      </c>
      <c r="E15">
        <v>213.7</v>
      </c>
      <c r="F15">
        <v>170.9</v>
      </c>
      <c r="G15">
        <v>170.1</v>
      </c>
      <c r="H15">
        <v>179.3</v>
      </c>
      <c r="I15">
        <v>167.5</v>
      </c>
      <c r="J15">
        <v>220.8</v>
      </c>
      <c r="K15">
        <v>169.2</v>
      </c>
      <c r="L15">
        <v>123.1</v>
      </c>
      <c r="M15">
        <v>193.6</v>
      </c>
      <c r="N15">
        <v>161.1</v>
      </c>
      <c r="O15">
        <v>190.4</v>
      </c>
      <c r="P15">
        <v>181.8</v>
      </c>
      <c r="Q15">
        <v>174.1</v>
      </c>
      <c r="R15" s="5">
        <f t="shared" si="0"/>
        <v>177.41538461538462</v>
      </c>
    </row>
    <row r="16" spans="1:18" x14ac:dyDescent="0.3">
      <c r="A16" t="s">
        <v>34</v>
      </c>
      <c r="B16">
        <v>2022</v>
      </c>
      <c r="C16" t="s">
        <v>42</v>
      </c>
      <c r="D16">
        <v>163.5</v>
      </c>
      <c r="E16">
        <v>209.2</v>
      </c>
      <c r="F16">
        <v>169.7</v>
      </c>
      <c r="G16">
        <v>169.7</v>
      </c>
      <c r="H16">
        <v>188.7</v>
      </c>
      <c r="I16">
        <v>165.7</v>
      </c>
      <c r="J16">
        <v>191.8</v>
      </c>
      <c r="K16">
        <v>169.1</v>
      </c>
      <c r="L16">
        <v>121.6</v>
      </c>
      <c r="M16">
        <v>197.3</v>
      </c>
      <c r="N16">
        <v>169.4</v>
      </c>
      <c r="O16">
        <v>187.4</v>
      </c>
      <c r="P16">
        <v>177.8</v>
      </c>
      <c r="Q16">
        <v>175.3</v>
      </c>
      <c r="R16" s="5">
        <f t="shared" si="0"/>
        <v>175.45384615384617</v>
      </c>
    </row>
    <row r="17" spans="1:18" hidden="1" x14ac:dyDescent="0.3">
      <c r="A17" t="s">
        <v>30</v>
      </c>
      <c r="B17">
        <v>2022</v>
      </c>
      <c r="C17" t="s">
        <v>43</v>
      </c>
      <c r="D17">
        <v>164.7</v>
      </c>
      <c r="E17">
        <v>208.8</v>
      </c>
      <c r="F17">
        <v>170.3</v>
      </c>
      <c r="G17">
        <v>170.9</v>
      </c>
      <c r="H17">
        <v>191.6</v>
      </c>
      <c r="I17">
        <v>162.19999999999999</v>
      </c>
      <c r="J17">
        <v>184.8</v>
      </c>
      <c r="K17">
        <v>169.7</v>
      </c>
      <c r="L17">
        <v>121.1</v>
      </c>
      <c r="M17">
        <v>201.6</v>
      </c>
      <c r="N17">
        <v>175.8</v>
      </c>
      <c r="O17">
        <v>185.6</v>
      </c>
      <c r="P17">
        <v>177.4</v>
      </c>
      <c r="Q17">
        <v>177.9</v>
      </c>
      <c r="R17" s="5">
        <f t="shared" si="0"/>
        <v>175.73076923076923</v>
      </c>
    </row>
    <row r="18" spans="1:18" hidden="1" x14ac:dyDescent="0.3">
      <c r="A18" t="s">
        <v>33</v>
      </c>
      <c r="B18">
        <v>2022</v>
      </c>
      <c r="C18" t="s">
        <v>43</v>
      </c>
      <c r="D18">
        <v>166.4</v>
      </c>
      <c r="E18">
        <v>214.9</v>
      </c>
      <c r="F18">
        <v>171.9</v>
      </c>
      <c r="G18">
        <v>171</v>
      </c>
      <c r="H18">
        <v>177.7</v>
      </c>
      <c r="I18">
        <v>165.7</v>
      </c>
      <c r="J18">
        <v>228.6</v>
      </c>
      <c r="K18">
        <v>169.9</v>
      </c>
      <c r="L18">
        <v>123.4</v>
      </c>
      <c r="M18">
        <v>196.4</v>
      </c>
      <c r="N18">
        <v>161.6</v>
      </c>
      <c r="O18">
        <v>191.5</v>
      </c>
      <c r="P18">
        <v>183.3</v>
      </c>
      <c r="Q18">
        <v>175.3</v>
      </c>
      <c r="R18" s="5">
        <f t="shared" si="0"/>
        <v>178.63846153846154</v>
      </c>
    </row>
    <row r="19" spans="1:18" x14ac:dyDescent="0.3">
      <c r="A19" t="s">
        <v>34</v>
      </c>
      <c r="B19">
        <v>2022</v>
      </c>
      <c r="C19" t="s">
        <v>43</v>
      </c>
      <c r="D19">
        <v>165.2</v>
      </c>
      <c r="E19">
        <v>210.9</v>
      </c>
      <c r="F19">
        <v>170.9</v>
      </c>
      <c r="G19">
        <v>170.9</v>
      </c>
      <c r="H19">
        <v>186.5</v>
      </c>
      <c r="I19">
        <v>163.80000000000001</v>
      </c>
      <c r="J19">
        <v>199.7</v>
      </c>
      <c r="K19">
        <v>169.8</v>
      </c>
      <c r="L19">
        <v>121.9</v>
      </c>
      <c r="M19">
        <v>199.9</v>
      </c>
      <c r="N19">
        <v>169.9</v>
      </c>
      <c r="O19">
        <v>188.3</v>
      </c>
      <c r="P19">
        <v>179.6</v>
      </c>
      <c r="Q19">
        <v>176.7</v>
      </c>
      <c r="R19" s="5">
        <f t="shared" si="0"/>
        <v>176.71538461538464</v>
      </c>
    </row>
    <row r="20" spans="1:18" hidden="1" x14ac:dyDescent="0.3">
      <c r="A20" t="s">
        <v>30</v>
      </c>
      <c r="B20">
        <v>2022</v>
      </c>
      <c r="C20" t="s">
        <v>45</v>
      </c>
      <c r="D20">
        <v>166.9</v>
      </c>
      <c r="E20">
        <v>207.2</v>
      </c>
      <c r="F20">
        <v>180.2</v>
      </c>
      <c r="G20">
        <v>172.3</v>
      </c>
      <c r="H20">
        <v>194</v>
      </c>
      <c r="I20">
        <v>159.1</v>
      </c>
      <c r="J20">
        <v>171.6</v>
      </c>
      <c r="K20">
        <v>170.2</v>
      </c>
      <c r="L20">
        <v>121.5</v>
      </c>
      <c r="M20">
        <v>204.8</v>
      </c>
      <c r="N20">
        <v>176.4</v>
      </c>
      <c r="O20">
        <v>186.9</v>
      </c>
      <c r="P20">
        <v>176.6</v>
      </c>
      <c r="Q20">
        <v>177.8</v>
      </c>
      <c r="R20" s="5">
        <f t="shared" si="0"/>
        <v>175.97692307692307</v>
      </c>
    </row>
    <row r="21" spans="1:18" hidden="1" x14ac:dyDescent="0.3">
      <c r="A21" t="s">
        <v>33</v>
      </c>
      <c r="B21">
        <v>2022</v>
      </c>
      <c r="C21" t="s">
        <v>45</v>
      </c>
      <c r="D21">
        <v>168.4</v>
      </c>
      <c r="E21">
        <v>213.4</v>
      </c>
      <c r="F21">
        <v>183.2</v>
      </c>
      <c r="G21">
        <v>172.3</v>
      </c>
      <c r="H21">
        <v>180</v>
      </c>
      <c r="I21">
        <v>162.6</v>
      </c>
      <c r="J21">
        <v>205.5</v>
      </c>
      <c r="K21">
        <v>171</v>
      </c>
      <c r="L21">
        <v>123.4</v>
      </c>
      <c r="M21">
        <v>198.8</v>
      </c>
      <c r="N21">
        <v>162.1</v>
      </c>
      <c r="O21">
        <v>192.4</v>
      </c>
      <c r="P21">
        <v>181.3</v>
      </c>
      <c r="Q21">
        <v>174.1</v>
      </c>
      <c r="R21" s="5">
        <f t="shared" si="0"/>
        <v>178.03076923076924</v>
      </c>
    </row>
    <row r="22" spans="1:18" x14ac:dyDescent="0.3">
      <c r="A22" t="s">
        <v>34</v>
      </c>
      <c r="B22">
        <v>2022</v>
      </c>
      <c r="C22" t="s">
        <v>45</v>
      </c>
      <c r="D22">
        <v>167.4</v>
      </c>
      <c r="E22">
        <v>209.4</v>
      </c>
      <c r="F22">
        <v>181.4</v>
      </c>
      <c r="G22">
        <v>172.3</v>
      </c>
      <c r="H22">
        <v>188.9</v>
      </c>
      <c r="I22">
        <v>160.69999999999999</v>
      </c>
      <c r="J22">
        <v>183.1</v>
      </c>
      <c r="K22">
        <v>170.5</v>
      </c>
      <c r="L22">
        <v>122.1</v>
      </c>
      <c r="M22">
        <v>202.8</v>
      </c>
      <c r="N22">
        <v>170.4</v>
      </c>
      <c r="O22">
        <v>189.5</v>
      </c>
      <c r="P22">
        <v>178.3</v>
      </c>
      <c r="Q22">
        <v>176.5</v>
      </c>
      <c r="R22" s="5">
        <f t="shared" si="0"/>
        <v>176.67692307692309</v>
      </c>
    </row>
    <row r="23" spans="1:18" hidden="1" x14ac:dyDescent="0.3">
      <c r="A23" t="s">
        <v>30</v>
      </c>
      <c r="B23">
        <v>2022</v>
      </c>
      <c r="C23" t="s">
        <v>46</v>
      </c>
      <c r="D23">
        <v>168.8</v>
      </c>
      <c r="E23">
        <v>206.9</v>
      </c>
      <c r="F23">
        <v>189.1</v>
      </c>
      <c r="G23">
        <v>173.4</v>
      </c>
      <c r="H23">
        <v>193.9</v>
      </c>
      <c r="I23">
        <v>156.69999999999999</v>
      </c>
      <c r="J23">
        <v>150.19999999999999</v>
      </c>
      <c r="K23">
        <v>170.5</v>
      </c>
      <c r="L23">
        <v>121.2</v>
      </c>
      <c r="M23">
        <v>207.5</v>
      </c>
      <c r="N23">
        <v>176.8</v>
      </c>
      <c r="O23">
        <v>187.7</v>
      </c>
      <c r="P23">
        <v>174.4</v>
      </c>
      <c r="Q23">
        <v>177.1</v>
      </c>
      <c r="R23" s="5">
        <f t="shared" si="0"/>
        <v>175.16153846153844</v>
      </c>
    </row>
    <row r="24" spans="1:18" hidden="1" x14ac:dyDescent="0.3">
      <c r="A24" t="s">
        <v>33</v>
      </c>
      <c r="B24">
        <v>2022</v>
      </c>
      <c r="C24" t="s">
        <v>46</v>
      </c>
      <c r="D24">
        <v>170.2</v>
      </c>
      <c r="E24">
        <v>212.9</v>
      </c>
      <c r="F24">
        <v>191.9</v>
      </c>
      <c r="G24">
        <v>173.9</v>
      </c>
      <c r="H24">
        <v>179.1</v>
      </c>
      <c r="I24">
        <v>159.5</v>
      </c>
      <c r="J24">
        <v>178.7</v>
      </c>
      <c r="K24">
        <v>171.3</v>
      </c>
      <c r="L24">
        <v>123.1</v>
      </c>
      <c r="M24">
        <v>200.5</v>
      </c>
      <c r="N24">
        <v>162.80000000000001</v>
      </c>
      <c r="O24">
        <v>193.3</v>
      </c>
      <c r="P24">
        <v>178.6</v>
      </c>
      <c r="Q24">
        <v>174.1</v>
      </c>
      <c r="R24" s="5">
        <f t="shared" si="0"/>
        <v>176.59999999999997</v>
      </c>
    </row>
    <row r="25" spans="1:18" x14ac:dyDescent="0.3">
      <c r="A25" t="s">
        <v>34</v>
      </c>
      <c r="B25">
        <v>2022</v>
      </c>
      <c r="C25" t="s">
        <v>46</v>
      </c>
      <c r="D25">
        <v>169.2</v>
      </c>
      <c r="E25">
        <v>209</v>
      </c>
      <c r="F25">
        <v>190.2</v>
      </c>
      <c r="G25">
        <v>173.6</v>
      </c>
      <c r="H25">
        <v>188.5</v>
      </c>
      <c r="I25">
        <v>158</v>
      </c>
      <c r="J25">
        <v>159.9</v>
      </c>
      <c r="K25">
        <v>170.8</v>
      </c>
      <c r="L25">
        <v>121.8</v>
      </c>
      <c r="M25">
        <v>205.2</v>
      </c>
      <c r="N25">
        <v>171</v>
      </c>
      <c r="O25">
        <v>190.3</v>
      </c>
      <c r="P25">
        <v>175.9</v>
      </c>
      <c r="Q25">
        <v>175.7</v>
      </c>
      <c r="R25" s="5">
        <f t="shared" si="0"/>
        <v>175.64615384615385</v>
      </c>
    </row>
    <row r="26" spans="1:18" hidden="1" x14ac:dyDescent="0.3">
      <c r="A26" t="s">
        <v>30</v>
      </c>
      <c r="B26">
        <v>2023</v>
      </c>
      <c r="C26" t="s">
        <v>31</v>
      </c>
      <c r="D26">
        <v>174</v>
      </c>
      <c r="E26">
        <v>208.3</v>
      </c>
      <c r="F26">
        <v>192.9</v>
      </c>
      <c r="G26">
        <v>174.3</v>
      </c>
      <c r="H26">
        <v>192.6</v>
      </c>
      <c r="I26">
        <v>156.30000000000001</v>
      </c>
      <c r="J26">
        <v>142.9</v>
      </c>
      <c r="K26">
        <v>170.7</v>
      </c>
      <c r="L26">
        <v>120.3</v>
      </c>
      <c r="M26">
        <v>210.5</v>
      </c>
      <c r="N26">
        <v>176.9</v>
      </c>
      <c r="O26">
        <v>188.5</v>
      </c>
      <c r="P26">
        <v>175</v>
      </c>
      <c r="Q26">
        <v>177.8</v>
      </c>
      <c r="R26" s="5">
        <f t="shared" si="0"/>
        <v>175.63076923076926</v>
      </c>
    </row>
    <row r="27" spans="1:18" hidden="1" x14ac:dyDescent="0.3">
      <c r="A27" t="s">
        <v>33</v>
      </c>
      <c r="B27">
        <v>2023</v>
      </c>
      <c r="C27" t="s">
        <v>31</v>
      </c>
      <c r="D27">
        <v>173.3</v>
      </c>
      <c r="E27">
        <v>215.2</v>
      </c>
      <c r="F27">
        <v>197</v>
      </c>
      <c r="G27">
        <v>175.2</v>
      </c>
      <c r="H27">
        <v>178</v>
      </c>
      <c r="I27">
        <v>160.5</v>
      </c>
      <c r="J27">
        <v>175.3</v>
      </c>
      <c r="K27">
        <v>171.2</v>
      </c>
      <c r="L27">
        <v>122.7</v>
      </c>
      <c r="M27">
        <v>204.3</v>
      </c>
      <c r="N27">
        <v>163.69999999999999</v>
      </c>
      <c r="O27">
        <v>194.3</v>
      </c>
      <c r="P27">
        <v>179.5</v>
      </c>
      <c r="Q27">
        <v>174.9</v>
      </c>
      <c r="R27" s="5">
        <f t="shared" si="0"/>
        <v>177.70769230769233</v>
      </c>
    </row>
    <row r="28" spans="1:18" x14ac:dyDescent="0.3">
      <c r="A28" t="s">
        <v>34</v>
      </c>
      <c r="B28">
        <v>2023</v>
      </c>
      <c r="C28" t="s">
        <v>31</v>
      </c>
      <c r="D28">
        <v>173.8</v>
      </c>
      <c r="E28">
        <v>210.7</v>
      </c>
      <c r="F28">
        <v>194.5</v>
      </c>
      <c r="G28">
        <v>174.6</v>
      </c>
      <c r="H28">
        <v>187.2</v>
      </c>
      <c r="I28">
        <v>158.30000000000001</v>
      </c>
      <c r="J28">
        <v>153.9</v>
      </c>
      <c r="K28">
        <v>170.9</v>
      </c>
      <c r="L28">
        <v>121.1</v>
      </c>
      <c r="M28">
        <v>208.4</v>
      </c>
      <c r="N28">
        <v>171.4</v>
      </c>
      <c r="O28">
        <v>191.2</v>
      </c>
      <c r="P28">
        <v>176.7</v>
      </c>
      <c r="Q28">
        <v>176.5</v>
      </c>
      <c r="R28" s="5">
        <f t="shared" si="0"/>
        <v>176.36153846153846</v>
      </c>
    </row>
    <row r="29" spans="1:18" hidden="1" x14ac:dyDescent="0.3">
      <c r="A29" t="s">
        <v>30</v>
      </c>
      <c r="B29">
        <v>2023</v>
      </c>
      <c r="C29" t="s">
        <v>35</v>
      </c>
      <c r="D29">
        <v>174.2</v>
      </c>
      <c r="E29">
        <v>205.2</v>
      </c>
      <c r="F29">
        <v>173.9</v>
      </c>
      <c r="G29">
        <v>177</v>
      </c>
      <c r="H29">
        <v>183.4</v>
      </c>
      <c r="I29">
        <v>167.2</v>
      </c>
      <c r="J29">
        <v>140.9</v>
      </c>
      <c r="K29">
        <v>170.4</v>
      </c>
      <c r="L29">
        <v>119.1</v>
      </c>
      <c r="M29">
        <v>212.1</v>
      </c>
      <c r="N29">
        <v>177.6</v>
      </c>
      <c r="O29">
        <v>189.9</v>
      </c>
      <c r="P29">
        <v>174.8</v>
      </c>
      <c r="Q29">
        <v>178</v>
      </c>
      <c r="R29" s="5">
        <f t="shared" si="0"/>
        <v>174.28461538461536</v>
      </c>
    </row>
    <row r="30" spans="1:18" hidden="1" x14ac:dyDescent="0.3">
      <c r="A30" t="s">
        <v>33</v>
      </c>
      <c r="B30">
        <v>2023</v>
      </c>
      <c r="C30" t="s">
        <v>35</v>
      </c>
      <c r="D30">
        <v>174.7</v>
      </c>
      <c r="E30">
        <v>212.2</v>
      </c>
      <c r="F30">
        <v>177.2</v>
      </c>
      <c r="G30">
        <v>177.9</v>
      </c>
      <c r="H30">
        <v>172.2</v>
      </c>
      <c r="I30">
        <v>172.1</v>
      </c>
      <c r="J30">
        <v>175.8</v>
      </c>
      <c r="K30">
        <v>172.2</v>
      </c>
      <c r="L30">
        <v>121.9</v>
      </c>
      <c r="M30">
        <v>204.8</v>
      </c>
      <c r="N30">
        <v>164.9</v>
      </c>
      <c r="O30">
        <v>196.6</v>
      </c>
      <c r="P30">
        <v>180.7</v>
      </c>
      <c r="Q30">
        <v>176.3</v>
      </c>
      <c r="R30" s="5">
        <f t="shared" si="0"/>
        <v>177.16923076923075</v>
      </c>
    </row>
    <row r="31" spans="1:18" x14ac:dyDescent="0.3">
      <c r="A31" t="s">
        <v>34</v>
      </c>
      <c r="B31">
        <v>2023</v>
      </c>
      <c r="C31" t="s">
        <v>35</v>
      </c>
      <c r="D31">
        <v>174.4</v>
      </c>
      <c r="E31">
        <v>207.7</v>
      </c>
      <c r="F31">
        <v>175.2</v>
      </c>
      <c r="G31">
        <v>177.3</v>
      </c>
      <c r="H31">
        <v>179.3</v>
      </c>
      <c r="I31">
        <v>169.5</v>
      </c>
      <c r="J31">
        <v>152.69999999999999</v>
      </c>
      <c r="K31">
        <v>171</v>
      </c>
      <c r="L31">
        <v>120</v>
      </c>
      <c r="M31">
        <v>209.7</v>
      </c>
      <c r="N31">
        <v>172.3</v>
      </c>
      <c r="O31">
        <v>193</v>
      </c>
      <c r="P31">
        <v>177</v>
      </c>
      <c r="Q31">
        <v>177.2</v>
      </c>
      <c r="R31" s="5">
        <f t="shared" si="0"/>
        <v>175.3153846153846</v>
      </c>
    </row>
    <row r="32" spans="1:18" hidden="1" x14ac:dyDescent="0.3">
      <c r="A32" t="s">
        <v>30</v>
      </c>
      <c r="B32">
        <v>2023</v>
      </c>
      <c r="C32" t="s">
        <v>36</v>
      </c>
      <c r="D32">
        <v>174.3</v>
      </c>
      <c r="E32">
        <v>205.2</v>
      </c>
      <c r="F32">
        <v>173.9</v>
      </c>
      <c r="G32">
        <v>177</v>
      </c>
      <c r="H32">
        <v>183.3</v>
      </c>
      <c r="I32">
        <v>167.2</v>
      </c>
      <c r="J32">
        <v>140.9</v>
      </c>
      <c r="K32">
        <v>170.5</v>
      </c>
      <c r="L32">
        <v>119.1</v>
      </c>
      <c r="M32">
        <v>212.1</v>
      </c>
      <c r="N32">
        <v>177.6</v>
      </c>
      <c r="O32">
        <v>189.9</v>
      </c>
      <c r="P32">
        <v>174.8</v>
      </c>
      <c r="Q32">
        <v>178</v>
      </c>
      <c r="R32" s="5">
        <f t="shared" si="0"/>
        <v>174.2923076923077</v>
      </c>
    </row>
    <row r="33" spans="1:18" hidden="1" x14ac:dyDescent="0.3">
      <c r="A33" t="s">
        <v>33</v>
      </c>
      <c r="B33">
        <v>2023</v>
      </c>
      <c r="C33" t="s">
        <v>36</v>
      </c>
      <c r="D33">
        <v>174.7</v>
      </c>
      <c r="E33">
        <v>212.2</v>
      </c>
      <c r="F33">
        <v>177.2</v>
      </c>
      <c r="G33">
        <v>177.9</v>
      </c>
      <c r="H33">
        <v>172.2</v>
      </c>
      <c r="I33">
        <v>172.1</v>
      </c>
      <c r="J33">
        <v>175.9</v>
      </c>
      <c r="K33">
        <v>172.2</v>
      </c>
      <c r="L33">
        <v>121.9</v>
      </c>
      <c r="M33">
        <v>204.8</v>
      </c>
      <c r="N33">
        <v>164.9</v>
      </c>
      <c r="O33">
        <v>196.6</v>
      </c>
      <c r="P33">
        <v>180.8</v>
      </c>
      <c r="Q33">
        <v>176.3</v>
      </c>
      <c r="R33" s="5">
        <f t="shared" si="0"/>
        <v>177.1846153846154</v>
      </c>
    </row>
    <row r="34" spans="1:18" x14ac:dyDescent="0.3">
      <c r="A34" t="s">
        <v>34</v>
      </c>
      <c r="B34">
        <v>2023</v>
      </c>
      <c r="C34" t="s">
        <v>36</v>
      </c>
      <c r="D34">
        <v>174.4</v>
      </c>
      <c r="E34">
        <v>207.7</v>
      </c>
      <c r="F34">
        <v>175.2</v>
      </c>
      <c r="G34">
        <v>177.3</v>
      </c>
      <c r="H34">
        <v>179.2</v>
      </c>
      <c r="I34">
        <v>169.5</v>
      </c>
      <c r="J34">
        <v>152.80000000000001</v>
      </c>
      <c r="K34">
        <v>171.1</v>
      </c>
      <c r="L34">
        <v>120</v>
      </c>
      <c r="M34">
        <v>209.7</v>
      </c>
      <c r="N34">
        <v>172.3</v>
      </c>
      <c r="O34">
        <v>193</v>
      </c>
      <c r="P34">
        <v>177</v>
      </c>
      <c r="Q34">
        <v>177.2</v>
      </c>
      <c r="R34" s="5">
        <f t="shared" si="0"/>
        <v>175.32307692307691</v>
      </c>
    </row>
    <row r="35" spans="1:18" hidden="1" x14ac:dyDescent="0.3">
      <c r="A35" t="s">
        <v>30</v>
      </c>
      <c r="B35">
        <v>2023</v>
      </c>
      <c r="C35" t="s">
        <v>37</v>
      </c>
      <c r="D35">
        <v>173.3</v>
      </c>
      <c r="E35">
        <v>206.9</v>
      </c>
      <c r="F35">
        <v>167.9</v>
      </c>
      <c r="G35">
        <v>178.2</v>
      </c>
      <c r="H35">
        <v>178.5</v>
      </c>
      <c r="I35">
        <v>173.7</v>
      </c>
      <c r="J35">
        <v>142.80000000000001</v>
      </c>
      <c r="K35">
        <v>172.8</v>
      </c>
      <c r="L35">
        <v>120.4</v>
      </c>
      <c r="M35">
        <v>215.5</v>
      </c>
      <c r="N35">
        <v>178.2</v>
      </c>
      <c r="O35">
        <v>190.5</v>
      </c>
      <c r="P35">
        <v>175.5</v>
      </c>
      <c r="Q35">
        <v>178.8</v>
      </c>
      <c r="R35" s="5">
        <f t="shared" si="0"/>
        <v>174.93846153846152</v>
      </c>
    </row>
    <row r="36" spans="1:18" hidden="1" x14ac:dyDescent="0.3">
      <c r="A36" t="s">
        <v>33</v>
      </c>
      <c r="B36">
        <v>2023</v>
      </c>
      <c r="C36" t="s">
        <v>37</v>
      </c>
      <c r="D36">
        <v>174.8</v>
      </c>
      <c r="E36">
        <v>213.7</v>
      </c>
      <c r="F36">
        <v>172.4</v>
      </c>
      <c r="G36">
        <v>178.8</v>
      </c>
      <c r="H36">
        <v>168.7</v>
      </c>
      <c r="I36">
        <v>179.2</v>
      </c>
      <c r="J36">
        <v>179.9</v>
      </c>
      <c r="K36">
        <v>174.7</v>
      </c>
      <c r="L36">
        <v>123.1</v>
      </c>
      <c r="M36">
        <v>207.8</v>
      </c>
      <c r="N36">
        <v>165.5</v>
      </c>
      <c r="O36">
        <v>197</v>
      </c>
      <c r="P36">
        <v>182.1</v>
      </c>
      <c r="Q36">
        <v>177.4</v>
      </c>
      <c r="R36" s="5">
        <f t="shared" si="0"/>
        <v>178.28461538461539</v>
      </c>
    </row>
    <row r="37" spans="1:18" x14ac:dyDescent="0.3">
      <c r="A37" t="s">
        <v>34</v>
      </c>
      <c r="B37">
        <v>2023</v>
      </c>
      <c r="C37" t="s">
        <v>37</v>
      </c>
      <c r="D37">
        <v>173.8</v>
      </c>
      <c r="E37">
        <v>209.3</v>
      </c>
      <c r="F37">
        <v>169.6</v>
      </c>
      <c r="G37">
        <v>178.4</v>
      </c>
      <c r="H37">
        <v>174.9</v>
      </c>
      <c r="I37">
        <v>176.3</v>
      </c>
      <c r="J37">
        <v>155.4</v>
      </c>
      <c r="K37">
        <v>173.4</v>
      </c>
      <c r="L37">
        <v>121.3</v>
      </c>
      <c r="M37">
        <v>212.9</v>
      </c>
      <c r="N37">
        <v>172.9</v>
      </c>
      <c r="O37">
        <v>193.5</v>
      </c>
      <c r="P37">
        <v>177.9</v>
      </c>
      <c r="Q37">
        <v>178.1</v>
      </c>
      <c r="R37" s="5">
        <f t="shared" si="0"/>
        <v>176.12307692307695</v>
      </c>
    </row>
    <row r="38" spans="1:18" hidden="1" x14ac:dyDescent="0.3">
      <c r="A38" t="s">
        <v>30</v>
      </c>
      <c r="B38">
        <v>2023</v>
      </c>
      <c r="C38" t="s">
        <v>38</v>
      </c>
      <c r="D38">
        <v>173.2</v>
      </c>
      <c r="E38">
        <v>211.5</v>
      </c>
      <c r="F38">
        <v>171</v>
      </c>
      <c r="G38">
        <v>179.6</v>
      </c>
      <c r="H38">
        <v>173.3</v>
      </c>
      <c r="I38">
        <v>169</v>
      </c>
      <c r="J38">
        <v>148.69999999999999</v>
      </c>
      <c r="K38">
        <v>174.9</v>
      </c>
      <c r="L38">
        <v>121.9</v>
      </c>
      <c r="M38">
        <v>221</v>
      </c>
      <c r="N38">
        <v>178.7</v>
      </c>
      <c r="O38">
        <v>191.1</v>
      </c>
      <c r="P38">
        <v>176.8</v>
      </c>
      <c r="Q38">
        <v>179.8</v>
      </c>
      <c r="R38" s="5">
        <f t="shared" si="0"/>
        <v>176.20769230769235</v>
      </c>
    </row>
    <row r="39" spans="1:18" hidden="1" x14ac:dyDescent="0.3">
      <c r="A39" t="s">
        <v>33</v>
      </c>
      <c r="B39">
        <v>2023</v>
      </c>
      <c r="C39" t="s">
        <v>38</v>
      </c>
      <c r="D39">
        <v>174.7</v>
      </c>
      <c r="E39">
        <v>219.4</v>
      </c>
      <c r="F39">
        <v>176.7</v>
      </c>
      <c r="G39">
        <v>179.4</v>
      </c>
      <c r="H39">
        <v>164.4</v>
      </c>
      <c r="I39">
        <v>175.8</v>
      </c>
      <c r="J39">
        <v>185</v>
      </c>
      <c r="K39">
        <v>176.9</v>
      </c>
      <c r="L39">
        <v>124.2</v>
      </c>
      <c r="M39">
        <v>211.9</v>
      </c>
      <c r="N39">
        <v>165.9</v>
      </c>
      <c r="O39">
        <v>197.7</v>
      </c>
      <c r="P39">
        <v>183.1</v>
      </c>
      <c r="Q39">
        <v>178.2</v>
      </c>
      <c r="R39" s="5">
        <f t="shared" si="0"/>
        <v>179.62307692307692</v>
      </c>
    </row>
    <row r="40" spans="1:18" x14ac:dyDescent="0.3">
      <c r="A40" t="s">
        <v>34</v>
      </c>
      <c r="B40">
        <v>2023</v>
      </c>
      <c r="C40" t="s">
        <v>38</v>
      </c>
      <c r="D40">
        <v>173.7</v>
      </c>
      <c r="E40">
        <v>214.3</v>
      </c>
      <c r="F40">
        <v>173.2</v>
      </c>
      <c r="G40">
        <v>179.5</v>
      </c>
      <c r="H40">
        <v>170</v>
      </c>
      <c r="I40">
        <v>172.2</v>
      </c>
      <c r="J40">
        <v>161</v>
      </c>
      <c r="K40">
        <v>175.6</v>
      </c>
      <c r="L40">
        <v>122.7</v>
      </c>
      <c r="M40">
        <v>218</v>
      </c>
      <c r="N40">
        <v>173.4</v>
      </c>
      <c r="O40">
        <v>194.2</v>
      </c>
      <c r="P40">
        <v>179.1</v>
      </c>
      <c r="Q40">
        <v>179.1</v>
      </c>
      <c r="R40" s="5">
        <f t="shared" si="0"/>
        <v>177.45384615384617</v>
      </c>
    </row>
  </sheetData>
  <autoFilter ref="A1:R40" xr:uid="{D00FC1B1-C3B2-462C-AEFE-F248F5EB67E1}">
    <filterColumn colId="0">
      <filters>
        <filter val="Rural+Urba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73A27-6EB3-4C36-B460-FF9645E161A1}">
  <dimension ref="A1:U14"/>
  <sheetViews>
    <sheetView workbookViewId="0">
      <selection activeCell="Y17" sqref="Y17"/>
    </sheetView>
  </sheetViews>
  <sheetFormatPr defaultRowHeight="14.4" x14ac:dyDescent="0.3"/>
  <cols>
    <col min="15" max="15" width="9.21875" customWidth="1"/>
    <col min="21" max="21" width="17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21</v>
      </c>
      <c r="R1" t="s">
        <v>23</v>
      </c>
      <c r="S1" t="s">
        <v>24</v>
      </c>
      <c r="T1" t="s">
        <v>92</v>
      </c>
      <c r="U1" t="s">
        <v>93</v>
      </c>
    </row>
    <row r="2" spans="1:21" x14ac:dyDescent="0.3">
      <c r="A2" t="s">
        <v>34</v>
      </c>
      <c r="B2">
        <v>2019</v>
      </c>
      <c r="C2" t="s">
        <v>42</v>
      </c>
      <c r="D2">
        <v>140.9</v>
      </c>
      <c r="E2">
        <v>160.80000000000001</v>
      </c>
      <c r="F2">
        <v>139.6</v>
      </c>
      <c r="G2">
        <v>145.4</v>
      </c>
      <c r="H2">
        <v>123.5</v>
      </c>
      <c r="I2">
        <v>146.6</v>
      </c>
      <c r="J2">
        <v>173.2</v>
      </c>
      <c r="K2">
        <v>131.6</v>
      </c>
      <c r="L2">
        <v>113.2</v>
      </c>
      <c r="M2">
        <v>144.1</v>
      </c>
      <c r="N2">
        <v>135</v>
      </c>
      <c r="O2">
        <v>156.80000000000001</v>
      </c>
      <c r="P2">
        <v>147</v>
      </c>
      <c r="Q2">
        <v>139.19999999999999</v>
      </c>
      <c r="R2">
        <v>149</v>
      </c>
      <c r="S2">
        <v>126.1</v>
      </c>
      <c r="T2" s="5">
        <f>AVERAGE(D2:S2)</f>
        <v>141.99999999999997</v>
      </c>
      <c r="U2" s="3">
        <f>(T2-141.2)/141.2</f>
        <v>5.6657223796032791E-3</v>
      </c>
    </row>
    <row r="3" spans="1:21" x14ac:dyDescent="0.3">
      <c r="A3" t="s">
        <v>34</v>
      </c>
      <c r="B3">
        <v>2019</v>
      </c>
      <c r="C3" t="s">
        <v>43</v>
      </c>
      <c r="D3">
        <v>141.80000000000001</v>
      </c>
      <c r="E3">
        <v>161</v>
      </c>
      <c r="F3">
        <v>142.6</v>
      </c>
      <c r="G3">
        <v>146.19999999999999</v>
      </c>
      <c r="H3">
        <v>123.9</v>
      </c>
      <c r="I3">
        <v>148</v>
      </c>
      <c r="J3">
        <v>188.4</v>
      </c>
      <c r="K3">
        <v>132.5</v>
      </c>
      <c r="L3">
        <v>114</v>
      </c>
      <c r="M3">
        <v>145.4</v>
      </c>
      <c r="N3">
        <v>135.1</v>
      </c>
      <c r="O3">
        <v>157.1</v>
      </c>
      <c r="P3">
        <v>149.6</v>
      </c>
      <c r="Q3">
        <v>140.6</v>
      </c>
      <c r="R3">
        <v>149.4</v>
      </c>
      <c r="S3">
        <v>126.3</v>
      </c>
      <c r="T3" s="5">
        <f t="shared" ref="T3:T14" si="0">AVERAGE(D3:S3)</f>
        <v>143.86874999999998</v>
      </c>
      <c r="U3" s="3">
        <f t="shared" ref="U3:U14" si="1">(T3-T2)/T2</f>
        <v>1.3160211267605677E-2</v>
      </c>
    </row>
    <row r="4" spans="1:21" x14ac:dyDescent="0.3">
      <c r="A4" t="s">
        <v>34</v>
      </c>
      <c r="B4">
        <v>2019</v>
      </c>
      <c r="C4" t="s">
        <v>45</v>
      </c>
      <c r="D4">
        <v>142.5</v>
      </c>
      <c r="E4">
        <v>163.19999999999999</v>
      </c>
      <c r="F4">
        <v>145.6</v>
      </c>
      <c r="G4">
        <v>146.69999999999999</v>
      </c>
      <c r="H4">
        <v>124.3</v>
      </c>
      <c r="I4">
        <v>147.4</v>
      </c>
      <c r="J4">
        <v>199.6</v>
      </c>
      <c r="K4">
        <v>135.69999999999999</v>
      </c>
      <c r="L4">
        <v>114.2</v>
      </c>
      <c r="M4">
        <v>147</v>
      </c>
      <c r="N4">
        <v>135.30000000000001</v>
      </c>
      <c r="O4">
        <v>157.5</v>
      </c>
      <c r="P4">
        <v>151.9</v>
      </c>
      <c r="Q4">
        <v>142.30000000000001</v>
      </c>
      <c r="R4">
        <v>149.9</v>
      </c>
      <c r="S4">
        <v>126.6</v>
      </c>
      <c r="T4" s="5">
        <f t="shared" si="0"/>
        <v>145.60625000000002</v>
      </c>
      <c r="U4" s="3">
        <f t="shared" si="1"/>
        <v>1.207697988618126E-2</v>
      </c>
    </row>
    <row r="5" spans="1:21" x14ac:dyDescent="0.3">
      <c r="A5" t="s">
        <v>34</v>
      </c>
      <c r="B5">
        <v>2019</v>
      </c>
      <c r="C5" t="s">
        <v>46</v>
      </c>
      <c r="D5">
        <v>143.5</v>
      </c>
      <c r="E5">
        <v>165</v>
      </c>
      <c r="F5">
        <v>151.1</v>
      </c>
      <c r="G5">
        <v>148.30000000000001</v>
      </c>
      <c r="H5">
        <v>125.7</v>
      </c>
      <c r="I5">
        <v>145.69999999999999</v>
      </c>
      <c r="J5">
        <v>217</v>
      </c>
      <c r="K5">
        <v>138.30000000000001</v>
      </c>
      <c r="L5">
        <v>114</v>
      </c>
      <c r="M5">
        <v>148.69999999999999</v>
      </c>
      <c r="N5">
        <v>135.80000000000001</v>
      </c>
      <c r="O5">
        <v>158</v>
      </c>
      <c r="P5">
        <v>155</v>
      </c>
      <c r="Q5">
        <v>143.69999999999999</v>
      </c>
      <c r="R5">
        <v>150.4</v>
      </c>
      <c r="S5">
        <v>129.80000000000001</v>
      </c>
      <c r="T5" s="5">
        <f t="shared" si="0"/>
        <v>148.12500000000003</v>
      </c>
      <c r="U5" s="3">
        <f t="shared" si="1"/>
        <v>1.729836459630003E-2</v>
      </c>
    </row>
    <row r="6" spans="1:21" x14ac:dyDescent="0.3">
      <c r="A6" t="s">
        <v>34</v>
      </c>
      <c r="B6">
        <v>2020</v>
      </c>
      <c r="C6" t="s">
        <v>31</v>
      </c>
      <c r="D6">
        <v>144.30000000000001</v>
      </c>
      <c r="E6">
        <v>167.4</v>
      </c>
      <c r="F6">
        <v>154.9</v>
      </c>
      <c r="G6">
        <v>150.1</v>
      </c>
      <c r="H6">
        <v>129.9</v>
      </c>
      <c r="I6">
        <v>143.19999999999999</v>
      </c>
      <c r="J6">
        <v>197</v>
      </c>
      <c r="K6">
        <v>140.4</v>
      </c>
      <c r="L6">
        <v>114.1</v>
      </c>
      <c r="M6">
        <v>150.9</v>
      </c>
      <c r="N6">
        <v>136.1</v>
      </c>
      <c r="O6">
        <v>158.6</v>
      </c>
      <c r="P6">
        <v>153.5</v>
      </c>
      <c r="Q6">
        <v>144.6</v>
      </c>
      <c r="R6">
        <v>151.19999999999999</v>
      </c>
      <c r="S6">
        <v>130.9</v>
      </c>
      <c r="T6" s="5">
        <f t="shared" si="0"/>
        <v>147.94374999999999</v>
      </c>
      <c r="U6" s="3">
        <f t="shared" si="1"/>
        <v>-1.2236286919833524E-3</v>
      </c>
    </row>
    <row r="7" spans="1:21" x14ac:dyDescent="0.3">
      <c r="A7" t="s">
        <v>34</v>
      </c>
      <c r="B7">
        <v>2020</v>
      </c>
      <c r="C7" t="s">
        <v>35</v>
      </c>
      <c r="D7">
        <v>144.80000000000001</v>
      </c>
      <c r="E7">
        <v>167.5</v>
      </c>
      <c r="F7">
        <v>151.80000000000001</v>
      </c>
      <c r="G7">
        <v>150.80000000000001</v>
      </c>
      <c r="H7">
        <v>131.4</v>
      </c>
      <c r="I7">
        <v>141.80000000000001</v>
      </c>
      <c r="J7">
        <v>170.7</v>
      </c>
      <c r="K7">
        <v>141.1</v>
      </c>
      <c r="L7">
        <v>113.6</v>
      </c>
      <c r="M7">
        <v>152</v>
      </c>
      <c r="N7">
        <v>136.5</v>
      </c>
      <c r="O7">
        <v>159.1</v>
      </c>
      <c r="P7">
        <v>150.5</v>
      </c>
      <c r="Q7">
        <v>147.19999999999999</v>
      </c>
      <c r="R7">
        <v>151.69999999999999</v>
      </c>
      <c r="S7">
        <v>130.30000000000001</v>
      </c>
      <c r="T7" s="5">
        <f t="shared" si="0"/>
        <v>146.29999999999998</v>
      </c>
      <c r="U7" s="3">
        <f t="shared" si="1"/>
        <v>-1.1110641713489156E-2</v>
      </c>
    </row>
    <row r="8" spans="1:21" x14ac:dyDescent="0.3">
      <c r="A8" t="s">
        <v>34</v>
      </c>
      <c r="B8">
        <v>2020</v>
      </c>
      <c r="C8" t="s">
        <v>36</v>
      </c>
      <c r="D8">
        <v>145.1</v>
      </c>
      <c r="E8">
        <v>167</v>
      </c>
      <c r="F8">
        <v>148.1</v>
      </c>
      <c r="G8">
        <v>151.5</v>
      </c>
      <c r="H8">
        <v>131.19999999999999</v>
      </c>
      <c r="I8">
        <v>142.5</v>
      </c>
      <c r="J8">
        <v>157.30000000000001</v>
      </c>
      <c r="K8">
        <v>141.1</v>
      </c>
      <c r="L8">
        <v>113.2</v>
      </c>
      <c r="M8">
        <v>153.19999999999999</v>
      </c>
      <c r="N8">
        <v>136.69999999999999</v>
      </c>
      <c r="O8">
        <v>159.6</v>
      </c>
      <c r="P8">
        <v>148.9</v>
      </c>
      <c r="Q8">
        <v>148.9</v>
      </c>
      <c r="R8">
        <v>152.30000000000001</v>
      </c>
      <c r="S8">
        <v>129.9</v>
      </c>
      <c r="T8" s="5">
        <f t="shared" si="0"/>
        <v>145.40625000000003</v>
      </c>
      <c r="U8" s="3">
        <f t="shared" si="1"/>
        <v>-6.1090225563906675E-3</v>
      </c>
    </row>
    <row r="9" spans="1:21" x14ac:dyDescent="0.3">
      <c r="A9" t="s">
        <v>34</v>
      </c>
      <c r="B9">
        <v>2020</v>
      </c>
      <c r="C9" t="s">
        <v>37</v>
      </c>
      <c r="D9">
        <v>148.69999999999999</v>
      </c>
      <c r="E9">
        <v>167.3</v>
      </c>
      <c r="F9">
        <v>148.80000000000001</v>
      </c>
      <c r="G9">
        <v>155.6</v>
      </c>
      <c r="H9">
        <v>135.1</v>
      </c>
      <c r="I9">
        <v>149.9</v>
      </c>
      <c r="J9">
        <v>168.6</v>
      </c>
      <c r="K9">
        <v>150.4</v>
      </c>
      <c r="L9">
        <v>120.3</v>
      </c>
      <c r="M9">
        <v>157.1</v>
      </c>
      <c r="N9">
        <v>136.80000000000001</v>
      </c>
      <c r="O9">
        <v>159.1</v>
      </c>
      <c r="P9">
        <v>151.4</v>
      </c>
      <c r="Q9">
        <v>144.1</v>
      </c>
      <c r="R9">
        <v>150.69999999999999</v>
      </c>
      <c r="S9">
        <v>130.30000000000001</v>
      </c>
      <c r="T9" s="5">
        <f t="shared" si="0"/>
        <v>148.38749999999999</v>
      </c>
      <c r="U9" s="3">
        <f t="shared" si="1"/>
        <v>2.0502901353964906E-2</v>
      </c>
    </row>
    <row r="10" spans="1:21" x14ac:dyDescent="0.3">
      <c r="A10" t="s">
        <v>34</v>
      </c>
      <c r="B10">
        <v>2020</v>
      </c>
      <c r="C10" t="s">
        <v>38</v>
      </c>
      <c r="D10">
        <v>146.19999999999999</v>
      </c>
      <c r="E10">
        <v>167.3</v>
      </c>
      <c r="F10">
        <v>149.5</v>
      </c>
      <c r="G10">
        <v>152.6</v>
      </c>
      <c r="H10">
        <v>132.5</v>
      </c>
      <c r="I10">
        <v>144.69999999999999</v>
      </c>
      <c r="J10">
        <v>165.5</v>
      </c>
      <c r="K10">
        <v>144.19999999999999</v>
      </c>
      <c r="L10">
        <v>115.7</v>
      </c>
      <c r="M10">
        <v>154.1</v>
      </c>
      <c r="N10">
        <v>136.6</v>
      </c>
      <c r="O10">
        <v>159.19999999999999</v>
      </c>
      <c r="P10">
        <v>150.19999999999999</v>
      </c>
      <c r="Q10">
        <v>146.69999999999999</v>
      </c>
      <c r="R10">
        <v>151.5</v>
      </c>
      <c r="S10">
        <v>130.1</v>
      </c>
      <c r="T10" s="5">
        <f t="shared" si="0"/>
        <v>146.66249999999999</v>
      </c>
      <c r="U10" s="3">
        <f t="shared" si="1"/>
        <v>-1.1624968410411891E-2</v>
      </c>
    </row>
    <row r="11" spans="1:21" x14ac:dyDescent="0.3">
      <c r="A11" t="s">
        <v>34</v>
      </c>
      <c r="B11">
        <v>2020</v>
      </c>
      <c r="C11" t="s">
        <v>39</v>
      </c>
      <c r="D11">
        <v>149.6</v>
      </c>
      <c r="E11">
        <v>192.7</v>
      </c>
      <c r="F11">
        <v>151.4</v>
      </c>
      <c r="G11">
        <v>153.30000000000001</v>
      </c>
      <c r="H11">
        <v>136.30000000000001</v>
      </c>
      <c r="I11">
        <v>147.19999999999999</v>
      </c>
      <c r="J11">
        <v>156.5</v>
      </c>
      <c r="K11">
        <v>150.9</v>
      </c>
      <c r="L11">
        <v>114.2</v>
      </c>
      <c r="M11">
        <v>159.5</v>
      </c>
      <c r="N11">
        <v>139.4</v>
      </c>
      <c r="O11">
        <v>161.80000000000001</v>
      </c>
      <c r="P11">
        <v>154</v>
      </c>
      <c r="Q11">
        <v>141.9</v>
      </c>
      <c r="R11">
        <v>154.4</v>
      </c>
      <c r="S11">
        <v>135</v>
      </c>
      <c r="T11" s="5">
        <f t="shared" si="0"/>
        <v>149.88125000000002</v>
      </c>
      <c r="U11" s="3">
        <f t="shared" si="1"/>
        <v>2.1946646211540296E-2</v>
      </c>
    </row>
    <row r="12" spans="1:21" x14ac:dyDescent="0.3">
      <c r="A12" t="s">
        <v>34</v>
      </c>
      <c r="B12">
        <v>2020</v>
      </c>
      <c r="C12" t="s">
        <v>40</v>
      </c>
      <c r="D12">
        <v>149.6</v>
      </c>
      <c r="E12">
        <v>192.7</v>
      </c>
      <c r="F12">
        <v>151.4</v>
      </c>
      <c r="G12">
        <v>153.30000000000001</v>
      </c>
      <c r="H12">
        <v>136.30000000000001</v>
      </c>
      <c r="I12">
        <v>147.19999999999999</v>
      </c>
      <c r="J12">
        <v>156.5</v>
      </c>
      <c r="K12">
        <v>150.9</v>
      </c>
      <c r="L12">
        <v>114.2</v>
      </c>
      <c r="M12">
        <v>159.5</v>
      </c>
      <c r="N12">
        <v>139.4</v>
      </c>
      <c r="O12">
        <v>161.80000000000001</v>
      </c>
      <c r="P12">
        <v>154</v>
      </c>
      <c r="Q12">
        <v>141.9</v>
      </c>
      <c r="R12">
        <v>154.4</v>
      </c>
      <c r="S12">
        <v>135</v>
      </c>
      <c r="T12" s="5">
        <f t="shared" si="0"/>
        <v>149.88125000000002</v>
      </c>
      <c r="U12" s="3">
        <f t="shared" si="1"/>
        <v>0</v>
      </c>
    </row>
    <row r="13" spans="1:21" x14ac:dyDescent="0.3">
      <c r="A13" t="s">
        <v>34</v>
      </c>
      <c r="B13">
        <v>2020</v>
      </c>
      <c r="C13" t="s">
        <v>41</v>
      </c>
      <c r="D13">
        <v>148.9</v>
      </c>
      <c r="E13">
        <v>190.9</v>
      </c>
      <c r="F13">
        <v>150.80000000000001</v>
      </c>
      <c r="G13">
        <v>153.30000000000001</v>
      </c>
      <c r="H13">
        <v>137.4</v>
      </c>
      <c r="I13">
        <v>150.4</v>
      </c>
      <c r="J13">
        <v>178.1</v>
      </c>
      <c r="K13">
        <v>150.4</v>
      </c>
      <c r="L13">
        <v>115.1</v>
      </c>
      <c r="M13">
        <v>160</v>
      </c>
      <c r="N13">
        <v>140.6</v>
      </c>
      <c r="O13">
        <v>162.30000000000001</v>
      </c>
      <c r="P13">
        <v>157</v>
      </c>
      <c r="Q13">
        <v>143</v>
      </c>
      <c r="R13">
        <v>155</v>
      </c>
      <c r="S13">
        <v>138.5</v>
      </c>
      <c r="T13" s="5">
        <f t="shared" si="0"/>
        <v>151.98124999999999</v>
      </c>
      <c r="U13" s="3">
        <f t="shared" si="1"/>
        <v>1.4011092114590487E-2</v>
      </c>
    </row>
    <row r="14" spans="1:21" x14ac:dyDescent="0.3">
      <c r="A14" t="s">
        <v>34</v>
      </c>
      <c r="B14">
        <v>2020</v>
      </c>
      <c r="C14" t="s">
        <v>42</v>
      </c>
      <c r="D14">
        <v>148.4</v>
      </c>
      <c r="E14">
        <v>187.1</v>
      </c>
      <c r="F14">
        <v>152.5</v>
      </c>
      <c r="G14">
        <v>153.6</v>
      </c>
      <c r="H14">
        <v>138.19999999999999</v>
      </c>
      <c r="I14">
        <v>150.9</v>
      </c>
      <c r="J14">
        <v>186.7</v>
      </c>
      <c r="K14">
        <v>149.80000000000001</v>
      </c>
      <c r="L14">
        <v>116.4</v>
      </c>
      <c r="M14">
        <v>160.30000000000001</v>
      </c>
      <c r="N14">
        <v>142.19999999999999</v>
      </c>
      <c r="O14">
        <v>162.9</v>
      </c>
      <c r="P14">
        <v>158</v>
      </c>
      <c r="Q14">
        <v>142.9</v>
      </c>
      <c r="R14">
        <v>155.6</v>
      </c>
      <c r="S14">
        <v>139.6</v>
      </c>
      <c r="T14" s="5">
        <f t="shared" si="0"/>
        <v>152.81874999999999</v>
      </c>
      <c r="U14" s="3">
        <f t="shared" si="1"/>
        <v>5.5105481761730853E-3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6A17A-4585-44C9-814C-79D600C40688}">
  <dimension ref="A1:AD89"/>
  <sheetViews>
    <sheetView workbookViewId="0">
      <pane ySplit="1" topLeftCell="A55" activePane="bottomLeft" state="frozen"/>
      <selection pane="bottomLeft" activeCell="V1" sqref="V1"/>
    </sheetView>
  </sheetViews>
  <sheetFormatPr defaultRowHeight="14.4" x14ac:dyDescent="0.3"/>
  <cols>
    <col min="21" max="21" width="9.77734375" bestFit="1" customWidth="1"/>
    <col min="22" max="22" width="13.6640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">
      <c r="A2" t="s">
        <v>34</v>
      </c>
      <c r="B2">
        <v>2016</v>
      </c>
      <c r="C2" t="s">
        <v>31</v>
      </c>
      <c r="D2">
        <v>126.1</v>
      </c>
      <c r="E2">
        <v>134.1</v>
      </c>
      <c r="F2">
        <v>128.6</v>
      </c>
      <c r="G2">
        <v>129.9</v>
      </c>
      <c r="H2">
        <v>115.5</v>
      </c>
      <c r="I2">
        <v>125.7</v>
      </c>
      <c r="J2">
        <v>141.5</v>
      </c>
      <c r="K2">
        <v>170.7</v>
      </c>
      <c r="L2">
        <v>97.4</v>
      </c>
      <c r="M2">
        <v>132.9</v>
      </c>
      <c r="N2">
        <v>122.7</v>
      </c>
      <c r="O2">
        <v>135.30000000000001</v>
      </c>
      <c r="P2">
        <v>131.30000000000001</v>
      </c>
      <c r="Q2">
        <v>135.19999999999999</v>
      </c>
      <c r="R2">
        <v>130.30000000000001</v>
      </c>
      <c r="S2">
        <v>125.1</v>
      </c>
      <c r="T2">
        <v>129.5</v>
      </c>
      <c r="U2">
        <v>123.4</v>
      </c>
      <c r="V2">
        <v>122.7</v>
      </c>
      <c r="W2">
        <v>124.2</v>
      </c>
      <c r="X2">
        <v>122</v>
      </c>
      <c r="Y2">
        <v>111.1</v>
      </c>
      <c r="Z2">
        <v>119.8</v>
      </c>
      <c r="AA2">
        <v>126.3</v>
      </c>
      <c r="AB2">
        <v>114.5</v>
      </c>
      <c r="AC2">
        <v>118.5</v>
      </c>
      <c r="AD2">
        <v>126.3</v>
      </c>
    </row>
    <row r="3" spans="1:30" x14ac:dyDescent="0.3">
      <c r="A3" t="s">
        <v>34</v>
      </c>
      <c r="B3">
        <v>2016</v>
      </c>
      <c r="C3" t="s">
        <v>35</v>
      </c>
      <c r="D3">
        <v>126.4</v>
      </c>
      <c r="E3">
        <v>134.19999999999999</v>
      </c>
      <c r="F3">
        <v>128.69999999999999</v>
      </c>
      <c r="G3">
        <v>130.30000000000001</v>
      </c>
      <c r="H3">
        <v>114.8</v>
      </c>
      <c r="I3">
        <v>124.9</v>
      </c>
      <c r="J3">
        <v>130.30000000000001</v>
      </c>
      <c r="K3">
        <v>167.4</v>
      </c>
      <c r="L3">
        <v>98.8</v>
      </c>
      <c r="M3">
        <v>133.6</v>
      </c>
      <c r="N3">
        <v>123</v>
      </c>
      <c r="O3">
        <v>135.80000000000001</v>
      </c>
      <c r="P3">
        <v>129.9</v>
      </c>
      <c r="Q3">
        <v>135.9</v>
      </c>
      <c r="R3">
        <v>130.9</v>
      </c>
      <c r="S3">
        <v>125.8</v>
      </c>
      <c r="T3">
        <v>130.19999999999999</v>
      </c>
      <c r="U3">
        <v>124.4</v>
      </c>
      <c r="V3">
        <v>123.1</v>
      </c>
      <c r="W3">
        <v>124.6</v>
      </c>
      <c r="X3">
        <v>122.5</v>
      </c>
      <c r="Y3">
        <v>111.4</v>
      </c>
      <c r="Z3">
        <v>120.3</v>
      </c>
      <c r="AA3">
        <v>126.6</v>
      </c>
      <c r="AB3">
        <v>116.6</v>
      </c>
      <c r="AC3">
        <v>119.1</v>
      </c>
      <c r="AD3">
        <v>126</v>
      </c>
    </row>
    <row r="4" spans="1:30" x14ac:dyDescent="0.3">
      <c r="A4" t="s">
        <v>34</v>
      </c>
      <c r="B4">
        <v>2016</v>
      </c>
      <c r="C4" t="s">
        <v>36</v>
      </c>
      <c r="D4">
        <v>126.5</v>
      </c>
      <c r="E4">
        <v>135.1</v>
      </c>
      <c r="F4">
        <v>124.6</v>
      </c>
      <c r="G4">
        <v>130.19999999999999</v>
      </c>
      <c r="H4">
        <v>114.5</v>
      </c>
      <c r="I4">
        <v>126.2</v>
      </c>
      <c r="J4">
        <v>129.80000000000001</v>
      </c>
      <c r="K4">
        <v>164.3</v>
      </c>
      <c r="L4">
        <v>100.9</v>
      </c>
      <c r="M4">
        <v>133.9</v>
      </c>
      <c r="N4">
        <v>123.1</v>
      </c>
      <c r="O4">
        <v>136.30000000000001</v>
      </c>
      <c r="P4">
        <v>129.80000000000001</v>
      </c>
      <c r="Q4">
        <v>136.5</v>
      </c>
      <c r="R4">
        <v>131.30000000000001</v>
      </c>
      <c r="S4">
        <v>126.1</v>
      </c>
      <c r="T4">
        <v>130.5</v>
      </c>
      <c r="U4">
        <v>124.9</v>
      </c>
      <c r="V4">
        <v>122.4</v>
      </c>
      <c r="W4">
        <v>125.1</v>
      </c>
      <c r="X4">
        <v>122.9</v>
      </c>
      <c r="Y4">
        <v>110.9</v>
      </c>
      <c r="Z4">
        <v>120.6</v>
      </c>
      <c r="AA4">
        <v>126.9</v>
      </c>
      <c r="AB4">
        <v>117.3</v>
      </c>
      <c r="AC4">
        <v>119.3</v>
      </c>
      <c r="AD4">
        <v>126</v>
      </c>
    </row>
    <row r="5" spans="1:30" x14ac:dyDescent="0.3">
      <c r="A5" t="s">
        <v>34</v>
      </c>
      <c r="B5">
        <v>2016</v>
      </c>
      <c r="C5" t="s">
        <v>37</v>
      </c>
      <c r="D5">
        <v>126.6</v>
      </c>
      <c r="E5">
        <v>136.80000000000001</v>
      </c>
      <c r="F5">
        <v>122</v>
      </c>
      <c r="G5">
        <v>130.9</v>
      </c>
      <c r="H5">
        <v>114.8</v>
      </c>
      <c r="I5">
        <v>134.80000000000001</v>
      </c>
      <c r="J5">
        <v>135</v>
      </c>
      <c r="K5">
        <v>167.5</v>
      </c>
      <c r="L5">
        <v>106.4</v>
      </c>
      <c r="M5">
        <v>134.4</v>
      </c>
      <c r="N5">
        <v>123.6</v>
      </c>
      <c r="O5">
        <v>136.69999999999999</v>
      </c>
      <c r="P5">
        <v>131.80000000000001</v>
      </c>
      <c r="Q5">
        <v>137.1</v>
      </c>
      <c r="R5">
        <v>131.80000000000001</v>
      </c>
      <c r="S5">
        <v>126.4</v>
      </c>
      <c r="T5">
        <v>131</v>
      </c>
      <c r="U5">
        <v>125.6</v>
      </c>
      <c r="V5">
        <v>122.3</v>
      </c>
      <c r="W5">
        <v>125.5</v>
      </c>
      <c r="X5">
        <v>123.2</v>
      </c>
      <c r="Y5">
        <v>112.1</v>
      </c>
      <c r="Z5">
        <v>121.1</v>
      </c>
      <c r="AA5">
        <v>127.7</v>
      </c>
      <c r="AB5">
        <v>118.1</v>
      </c>
      <c r="AC5">
        <v>120</v>
      </c>
      <c r="AD5">
        <v>127.3</v>
      </c>
    </row>
    <row r="6" spans="1:30" x14ac:dyDescent="0.3">
      <c r="A6" t="s">
        <v>34</v>
      </c>
      <c r="B6">
        <v>2016</v>
      </c>
      <c r="C6" t="s">
        <v>38</v>
      </c>
      <c r="D6">
        <v>126.8</v>
      </c>
      <c r="E6">
        <v>139.1</v>
      </c>
      <c r="F6">
        <v>125.4</v>
      </c>
      <c r="G6">
        <v>131.69999999999999</v>
      </c>
      <c r="H6">
        <v>115</v>
      </c>
      <c r="I6">
        <v>136</v>
      </c>
      <c r="J6">
        <v>145.1</v>
      </c>
      <c r="K6">
        <v>171.7</v>
      </c>
      <c r="L6">
        <v>108.7</v>
      </c>
      <c r="M6">
        <v>135.30000000000001</v>
      </c>
      <c r="N6">
        <v>124.2</v>
      </c>
      <c r="O6">
        <v>137.4</v>
      </c>
      <c r="P6">
        <v>134</v>
      </c>
      <c r="Q6">
        <v>137.69999999999999</v>
      </c>
      <c r="R6">
        <v>132.19999999999999</v>
      </c>
      <c r="S6">
        <v>126.8</v>
      </c>
      <c r="T6">
        <v>131.4</v>
      </c>
      <c r="U6">
        <v>126</v>
      </c>
      <c r="V6">
        <v>122.7</v>
      </c>
      <c r="W6">
        <v>126</v>
      </c>
      <c r="X6">
        <v>123.7</v>
      </c>
      <c r="Y6">
        <v>112.8</v>
      </c>
      <c r="Z6">
        <v>121.5</v>
      </c>
      <c r="AA6">
        <v>128.5</v>
      </c>
      <c r="AB6">
        <v>119.2</v>
      </c>
      <c r="AC6">
        <v>120.7</v>
      </c>
      <c r="AD6">
        <v>128.6</v>
      </c>
    </row>
    <row r="7" spans="1:30" x14ac:dyDescent="0.3">
      <c r="A7" t="s">
        <v>34</v>
      </c>
      <c r="B7">
        <v>2016</v>
      </c>
      <c r="C7" t="s">
        <v>39</v>
      </c>
      <c r="D7">
        <v>127.7</v>
      </c>
      <c r="E7">
        <v>140.5</v>
      </c>
      <c r="F7">
        <v>128.30000000000001</v>
      </c>
      <c r="G7">
        <v>132.6</v>
      </c>
      <c r="H7">
        <v>115.5</v>
      </c>
      <c r="I7">
        <v>136.5</v>
      </c>
      <c r="J7">
        <v>159.69999999999999</v>
      </c>
      <c r="K7">
        <v>174.3</v>
      </c>
      <c r="L7">
        <v>109.9</v>
      </c>
      <c r="M7">
        <v>136.30000000000001</v>
      </c>
      <c r="N7">
        <v>124.4</v>
      </c>
      <c r="O7">
        <v>138.1</v>
      </c>
      <c r="P7">
        <v>136.80000000000001</v>
      </c>
      <c r="Q7">
        <v>138.69999999999999</v>
      </c>
      <c r="R7">
        <v>132.9</v>
      </c>
      <c r="S7">
        <v>127.2</v>
      </c>
      <c r="T7">
        <v>132</v>
      </c>
      <c r="U7">
        <v>125.5</v>
      </c>
      <c r="V7">
        <v>123.3</v>
      </c>
      <c r="W7">
        <v>126.4</v>
      </c>
      <c r="X7">
        <v>124.1</v>
      </c>
      <c r="Y7">
        <v>114.2</v>
      </c>
      <c r="Z7">
        <v>121.7</v>
      </c>
      <c r="AA7">
        <v>129.69999999999999</v>
      </c>
      <c r="AB7">
        <v>119.4</v>
      </c>
      <c r="AC7">
        <v>121.5</v>
      </c>
      <c r="AD7">
        <v>130.1</v>
      </c>
    </row>
    <row r="8" spans="1:30" x14ac:dyDescent="0.3">
      <c r="A8" t="s">
        <v>34</v>
      </c>
      <c r="B8">
        <v>2016</v>
      </c>
      <c r="C8" t="s">
        <v>40</v>
      </c>
      <c r="D8">
        <v>128.5</v>
      </c>
      <c r="E8">
        <v>141.19999999999999</v>
      </c>
      <c r="F8">
        <v>132.30000000000001</v>
      </c>
      <c r="G8">
        <v>133.5</v>
      </c>
      <c r="H8">
        <v>116.4</v>
      </c>
      <c r="I8">
        <v>137.80000000000001</v>
      </c>
      <c r="J8">
        <v>165.4</v>
      </c>
      <c r="K8">
        <v>177.4</v>
      </c>
      <c r="L8">
        <v>111.3</v>
      </c>
      <c r="M8">
        <v>137.5</v>
      </c>
      <c r="N8">
        <v>125</v>
      </c>
      <c r="O8">
        <v>138.80000000000001</v>
      </c>
      <c r="P8">
        <v>138.4</v>
      </c>
      <c r="Q8">
        <v>139.30000000000001</v>
      </c>
      <c r="R8">
        <v>133.5</v>
      </c>
      <c r="S8">
        <v>127.6</v>
      </c>
      <c r="T8">
        <v>132.69999999999999</v>
      </c>
      <c r="U8">
        <v>126.4</v>
      </c>
      <c r="V8">
        <v>123.4</v>
      </c>
      <c r="W8">
        <v>126.9</v>
      </c>
      <c r="X8">
        <v>124.5</v>
      </c>
      <c r="Y8">
        <v>113.9</v>
      </c>
      <c r="Z8">
        <v>122.4</v>
      </c>
      <c r="AA8">
        <v>130.80000000000001</v>
      </c>
      <c r="AB8">
        <v>120.5</v>
      </c>
      <c r="AC8">
        <v>121.9</v>
      </c>
      <c r="AD8">
        <v>131.1</v>
      </c>
    </row>
    <row r="9" spans="1:30" x14ac:dyDescent="0.3">
      <c r="A9" t="s">
        <v>34</v>
      </c>
      <c r="B9">
        <v>2016</v>
      </c>
      <c r="C9" t="s">
        <v>41</v>
      </c>
      <c r="D9">
        <v>129.30000000000001</v>
      </c>
      <c r="E9">
        <v>139.30000000000001</v>
      </c>
      <c r="F9">
        <v>131.6</v>
      </c>
      <c r="G9">
        <v>134.1</v>
      </c>
      <c r="H9">
        <v>116.9</v>
      </c>
      <c r="I9">
        <v>138.1</v>
      </c>
      <c r="J9">
        <v>159.1</v>
      </c>
      <c r="K9">
        <v>175.6</v>
      </c>
      <c r="L9">
        <v>112.9</v>
      </c>
      <c r="M9">
        <v>138.1</v>
      </c>
      <c r="N9">
        <v>125.5</v>
      </c>
      <c r="O9">
        <v>139.5</v>
      </c>
      <c r="P9">
        <v>137.9</v>
      </c>
      <c r="Q9">
        <v>140.19999999999999</v>
      </c>
      <c r="R9">
        <v>134.1</v>
      </c>
      <c r="S9">
        <v>128.19999999999999</v>
      </c>
      <c r="T9">
        <v>133.19999999999999</v>
      </c>
      <c r="U9">
        <v>127.3</v>
      </c>
      <c r="V9">
        <v>123.6</v>
      </c>
      <c r="W9">
        <v>127.4</v>
      </c>
      <c r="X9">
        <v>124.8</v>
      </c>
      <c r="Y9">
        <v>113.1</v>
      </c>
      <c r="Z9">
        <v>122.7</v>
      </c>
      <c r="AA9">
        <v>131.69999999999999</v>
      </c>
      <c r="AB9">
        <v>121.5</v>
      </c>
      <c r="AC9">
        <v>122.1</v>
      </c>
      <c r="AD9">
        <v>131.1</v>
      </c>
    </row>
    <row r="10" spans="1:30" x14ac:dyDescent="0.3">
      <c r="A10" t="s">
        <v>34</v>
      </c>
      <c r="B10">
        <v>2016</v>
      </c>
      <c r="C10" t="s">
        <v>42</v>
      </c>
      <c r="D10">
        <v>129.9</v>
      </c>
      <c r="E10">
        <v>138</v>
      </c>
      <c r="F10">
        <v>130.5</v>
      </c>
      <c r="G10">
        <v>134.4</v>
      </c>
      <c r="H10">
        <v>117.2</v>
      </c>
      <c r="I10">
        <v>136.1</v>
      </c>
      <c r="J10">
        <v>150.69999999999999</v>
      </c>
      <c r="K10">
        <v>171.5</v>
      </c>
      <c r="L10">
        <v>113.8</v>
      </c>
      <c r="M10">
        <v>138.80000000000001</v>
      </c>
      <c r="N10">
        <v>126</v>
      </c>
      <c r="O10">
        <v>140.19999999999999</v>
      </c>
      <c r="P10">
        <v>136.6</v>
      </c>
      <c r="Q10">
        <v>141</v>
      </c>
      <c r="R10">
        <v>134.6</v>
      </c>
      <c r="S10">
        <v>128.6</v>
      </c>
      <c r="T10">
        <v>133.80000000000001</v>
      </c>
      <c r="U10">
        <v>127.9</v>
      </c>
      <c r="V10">
        <v>124.1</v>
      </c>
      <c r="W10">
        <v>127.9</v>
      </c>
      <c r="X10">
        <v>125.4</v>
      </c>
      <c r="Y10">
        <v>114.3</v>
      </c>
      <c r="Z10">
        <v>122.9</v>
      </c>
      <c r="AA10">
        <v>131.80000000000001</v>
      </c>
      <c r="AB10">
        <v>122.1</v>
      </c>
      <c r="AC10">
        <v>122.8</v>
      </c>
      <c r="AD10">
        <v>130.9</v>
      </c>
    </row>
    <row r="11" spans="1:30" x14ac:dyDescent="0.3">
      <c r="A11" t="s">
        <v>34</v>
      </c>
      <c r="B11">
        <v>2016</v>
      </c>
      <c r="C11" t="s">
        <v>43</v>
      </c>
      <c r="D11">
        <v>130.5</v>
      </c>
      <c r="E11">
        <v>137.9</v>
      </c>
      <c r="F11">
        <v>130.19999999999999</v>
      </c>
      <c r="G11">
        <v>134.80000000000001</v>
      </c>
      <c r="H11">
        <v>117.8</v>
      </c>
      <c r="I11">
        <v>134.69999999999999</v>
      </c>
      <c r="J11">
        <v>151.19999999999999</v>
      </c>
      <c r="K11">
        <v>172.1</v>
      </c>
      <c r="L11">
        <v>114.1</v>
      </c>
      <c r="M11">
        <v>139.30000000000001</v>
      </c>
      <c r="N11">
        <v>126.1</v>
      </c>
      <c r="O11">
        <v>141.1</v>
      </c>
      <c r="P11">
        <v>137</v>
      </c>
      <c r="Q11">
        <v>141.80000000000001</v>
      </c>
      <c r="R11">
        <v>135.5</v>
      </c>
      <c r="S11">
        <v>129.1</v>
      </c>
      <c r="T11">
        <v>134.5</v>
      </c>
      <c r="U11">
        <v>128.69999999999999</v>
      </c>
      <c r="V11">
        <v>124.3</v>
      </c>
      <c r="W11">
        <v>128.4</v>
      </c>
      <c r="X11">
        <v>126.1</v>
      </c>
      <c r="Y11">
        <v>115.2</v>
      </c>
      <c r="Z11">
        <v>123.5</v>
      </c>
      <c r="AA11">
        <v>132.4</v>
      </c>
      <c r="AB11">
        <v>122.1</v>
      </c>
      <c r="AC11">
        <v>123.4</v>
      </c>
      <c r="AD11">
        <v>131.4</v>
      </c>
    </row>
    <row r="12" spans="1:30" x14ac:dyDescent="0.3">
      <c r="A12" t="s">
        <v>34</v>
      </c>
      <c r="B12">
        <v>2016</v>
      </c>
      <c r="C12" t="s">
        <v>45</v>
      </c>
      <c r="D12">
        <v>131.4</v>
      </c>
      <c r="E12">
        <v>137.80000000000001</v>
      </c>
      <c r="F12">
        <v>132</v>
      </c>
      <c r="G12">
        <v>135</v>
      </c>
      <c r="H12">
        <v>118</v>
      </c>
      <c r="I12">
        <v>134.1</v>
      </c>
      <c r="J12">
        <v>141.9</v>
      </c>
      <c r="K12">
        <v>171.7</v>
      </c>
      <c r="L12">
        <v>114.1</v>
      </c>
      <c r="M12">
        <v>139.69999999999999</v>
      </c>
      <c r="N12">
        <v>126.2</v>
      </c>
      <c r="O12">
        <v>141.80000000000001</v>
      </c>
      <c r="P12">
        <v>136.1</v>
      </c>
      <c r="Q12">
        <v>142</v>
      </c>
      <c r="R12">
        <v>135.80000000000001</v>
      </c>
      <c r="S12">
        <v>129.30000000000001</v>
      </c>
      <c r="T12">
        <v>135</v>
      </c>
      <c r="U12">
        <v>129.1</v>
      </c>
      <c r="V12">
        <v>125</v>
      </c>
      <c r="W12">
        <v>128.6</v>
      </c>
      <c r="X12">
        <v>126.4</v>
      </c>
      <c r="Y12">
        <v>115.7</v>
      </c>
      <c r="Z12">
        <v>124</v>
      </c>
      <c r="AA12">
        <v>132.80000000000001</v>
      </c>
      <c r="AB12">
        <v>122.6</v>
      </c>
      <c r="AC12">
        <v>123.8</v>
      </c>
      <c r="AD12">
        <v>131.19999999999999</v>
      </c>
    </row>
    <row r="13" spans="1:30" x14ac:dyDescent="0.3">
      <c r="A13" t="s">
        <v>34</v>
      </c>
      <c r="B13">
        <v>2016</v>
      </c>
      <c r="C13" t="s">
        <v>46</v>
      </c>
      <c r="D13">
        <v>132.30000000000001</v>
      </c>
      <c r="E13">
        <v>137.6</v>
      </c>
      <c r="F13">
        <v>132.9</v>
      </c>
      <c r="G13">
        <v>135.1</v>
      </c>
      <c r="H13">
        <v>118.6</v>
      </c>
      <c r="I13">
        <v>132.69999999999999</v>
      </c>
      <c r="J13">
        <v>125.3</v>
      </c>
      <c r="K13">
        <v>168.7</v>
      </c>
      <c r="L13">
        <v>114.4</v>
      </c>
      <c r="M13">
        <v>140.19999999999999</v>
      </c>
      <c r="N13">
        <v>126.6</v>
      </c>
      <c r="O13">
        <v>142.30000000000001</v>
      </c>
      <c r="P13">
        <v>134</v>
      </c>
      <c r="Q13">
        <v>143.1</v>
      </c>
      <c r="R13">
        <v>136.30000000000001</v>
      </c>
      <c r="S13">
        <v>129.80000000000001</v>
      </c>
      <c r="T13">
        <v>135.4</v>
      </c>
      <c r="U13">
        <v>128.5</v>
      </c>
      <c r="V13">
        <v>126.6</v>
      </c>
      <c r="W13">
        <v>129.19999999999999</v>
      </c>
      <c r="X13">
        <v>126.9</v>
      </c>
      <c r="Y13">
        <v>116</v>
      </c>
      <c r="Z13">
        <v>124.2</v>
      </c>
      <c r="AA13">
        <v>133.1</v>
      </c>
      <c r="AB13">
        <v>121.1</v>
      </c>
      <c r="AC13">
        <v>123.9</v>
      </c>
      <c r="AD13">
        <v>130.4</v>
      </c>
    </row>
    <row r="14" spans="1:30" x14ac:dyDescent="0.3">
      <c r="A14" t="s">
        <v>34</v>
      </c>
      <c r="B14">
        <v>2017</v>
      </c>
      <c r="C14" t="s">
        <v>31</v>
      </c>
      <c r="D14">
        <v>132.80000000000001</v>
      </c>
      <c r="E14">
        <v>138.19999999999999</v>
      </c>
      <c r="F14">
        <v>132.19999999999999</v>
      </c>
      <c r="G14">
        <v>135.4</v>
      </c>
      <c r="H14">
        <v>119.1</v>
      </c>
      <c r="I14">
        <v>133</v>
      </c>
      <c r="J14">
        <v>119.4</v>
      </c>
      <c r="K14">
        <v>159.5</v>
      </c>
      <c r="L14">
        <v>115.6</v>
      </c>
      <c r="M14">
        <v>139.6</v>
      </c>
      <c r="N14">
        <v>126.6</v>
      </c>
      <c r="O14">
        <v>142.80000000000001</v>
      </c>
      <c r="P14">
        <v>133.1</v>
      </c>
      <c r="Q14">
        <v>143.80000000000001</v>
      </c>
      <c r="R14">
        <v>136.6</v>
      </c>
      <c r="S14">
        <v>130.19999999999999</v>
      </c>
      <c r="T14">
        <v>135.6</v>
      </c>
      <c r="U14">
        <v>129.6</v>
      </c>
      <c r="V14">
        <v>126.8</v>
      </c>
      <c r="W14">
        <v>129.4</v>
      </c>
      <c r="X14">
        <v>127.1</v>
      </c>
      <c r="Y14">
        <v>117</v>
      </c>
      <c r="Z14">
        <v>124.2</v>
      </c>
      <c r="AA14">
        <v>133.30000000000001</v>
      </c>
      <c r="AB14">
        <v>121.7</v>
      </c>
      <c r="AC14">
        <v>124.4</v>
      </c>
      <c r="AD14">
        <v>130.30000000000001</v>
      </c>
    </row>
    <row r="15" spans="1:30" x14ac:dyDescent="0.3">
      <c r="A15" t="s">
        <v>34</v>
      </c>
      <c r="B15">
        <v>2017</v>
      </c>
      <c r="C15" t="s">
        <v>35</v>
      </c>
      <c r="D15">
        <v>133.1</v>
      </c>
      <c r="E15">
        <v>138.80000000000001</v>
      </c>
      <c r="F15">
        <v>129.30000000000001</v>
      </c>
      <c r="G15">
        <v>135.80000000000001</v>
      </c>
      <c r="H15">
        <v>119.2</v>
      </c>
      <c r="I15">
        <v>135.30000000000001</v>
      </c>
      <c r="J15">
        <v>119.5</v>
      </c>
      <c r="K15">
        <v>152.19999999999999</v>
      </c>
      <c r="L15">
        <v>117.3</v>
      </c>
      <c r="M15">
        <v>138.69999999999999</v>
      </c>
      <c r="N15">
        <v>126.9</v>
      </c>
      <c r="O15">
        <v>143.19999999999999</v>
      </c>
      <c r="P15">
        <v>133</v>
      </c>
      <c r="Q15">
        <v>144.4</v>
      </c>
      <c r="R15">
        <v>136.80000000000001</v>
      </c>
      <c r="S15">
        <v>130.30000000000001</v>
      </c>
      <c r="T15">
        <v>135.9</v>
      </c>
      <c r="U15">
        <v>130.5</v>
      </c>
      <c r="V15">
        <v>127.9</v>
      </c>
      <c r="W15">
        <v>129.69999999999999</v>
      </c>
      <c r="X15">
        <v>127.4</v>
      </c>
      <c r="Y15">
        <v>117.4</v>
      </c>
      <c r="Z15">
        <v>124.6</v>
      </c>
      <c r="AA15">
        <v>133.4</v>
      </c>
      <c r="AB15">
        <v>122.6</v>
      </c>
      <c r="AC15">
        <v>124.8</v>
      </c>
      <c r="AD15">
        <v>130.6</v>
      </c>
    </row>
    <row r="16" spans="1:30" x14ac:dyDescent="0.3">
      <c r="A16" t="s">
        <v>34</v>
      </c>
      <c r="B16">
        <v>2017</v>
      </c>
      <c r="C16" t="s">
        <v>36</v>
      </c>
      <c r="D16">
        <v>133.30000000000001</v>
      </c>
      <c r="E16">
        <v>139</v>
      </c>
      <c r="F16">
        <v>128.6</v>
      </c>
      <c r="G16">
        <v>136.30000000000001</v>
      </c>
      <c r="H16">
        <v>118.8</v>
      </c>
      <c r="I16">
        <v>138.30000000000001</v>
      </c>
      <c r="J16">
        <v>120.5</v>
      </c>
      <c r="K16">
        <v>143.9</v>
      </c>
      <c r="L16">
        <v>118</v>
      </c>
      <c r="M16">
        <v>137.9</v>
      </c>
      <c r="N16">
        <v>127.2</v>
      </c>
      <c r="O16">
        <v>144</v>
      </c>
      <c r="P16">
        <v>133.1</v>
      </c>
      <c r="Q16">
        <v>145.1</v>
      </c>
      <c r="R16">
        <v>137.30000000000001</v>
      </c>
      <c r="S16">
        <v>130.6</v>
      </c>
      <c r="T16">
        <v>136.4</v>
      </c>
      <c r="U16">
        <v>131.1</v>
      </c>
      <c r="V16">
        <v>129.1</v>
      </c>
      <c r="W16">
        <v>130.1</v>
      </c>
      <c r="X16">
        <v>127.8</v>
      </c>
      <c r="Y16">
        <v>117.6</v>
      </c>
      <c r="Z16">
        <v>125</v>
      </c>
      <c r="AA16">
        <v>133.80000000000001</v>
      </c>
      <c r="AB16">
        <v>122.6</v>
      </c>
      <c r="AC16">
        <v>125.1</v>
      </c>
      <c r="AD16">
        <v>130.9</v>
      </c>
    </row>
    <row r="17" spans="1:30" x14ac:dyDescent="0.3">
      <c r="A17" t="s">
        <v>34</v>
      </c>
      <c r="B17">
        <v>2017</v>
      </c>
      <c r="C17" t="s">
        <v>37</v>
      </c>
      <c r="D17">
        <v>133</v>
      </c>
      <c r="E17">
        <v>139.4</v>
      </c>
      <c r="F17">
        <v>126.1</v>
      </c>
      <c r="G17">
        <v>137.19999999999999</v>
      </c>
      <c r="H17">
        <v>118.4</v>
      </c>
      <c r="I17">
        <v>139.9</v>
      </c>
      <c r="J17">
        <v>123.4</v>
      </c>
      <c r="K17">
        <v>140.9</v>
      </c>
      <c r="L17">
        <v>118.5</v>
      </c>
      <c r="M17">
        <v>136.5</v>
      </c>
      <c r="N17">
        <v>127.4</v>
      </c>
      <c r="O17">
        <v>144.19999999999999</v>
      </c>
      <c r="P17">
        <v>133.5</v>
      </c>
      <c r="Q17">
        <v>145.4</v>
      </c>
      <c r="R17">
        <v>138</v>
      </c>
      <c r="S17">
        <v>131.1</v>
      </c>
      <c r="T17">
        <v>137</v>
      </c>
      <c r="U17">
        <v>131.69999999999999</v>
      </c>
      <c r="V17">
        <v>129.80000000000001</v>
      </c>
      <c r="W17">
        <v>130.4</v>
      </c>
      <c r="X17">
        <v>128.1</v>
      </c>
      <c r="Y17">
        <v>116.6</v>
      </c>
      <c r="Z17">
        <v>125.1</v>
      </c>
      <c r="AA17">
        <v>134.5</v>
      </c>
      <c r="AB17">
        <v>123.1</v>
      </c>
      <c r="AC17">
        <v>125.1</v>
      </c>
      <c r="AD17">
        <v>131.1</v>
      </c>
    </row>
    <row r="18" spans="1:30" x14ac:dyDescent="0.3">
      <c r="A18" t="s">
        <v>34</v>
      </c>
      <c r="B18">
        <v>2017</v>
      </c>
      <c r="C18" t="s">
        <v>38</v>
      </c>
      <c r="D18">
        <v>132.9</v>
      </c>
      <c r="E18">
        <v>141.6</v>
      </c>
      <c r="F18">
        <v>126.3</v>
      </c>
      <c r="G18">
        <v>137.69999999999999</v>
      </c>
      <c r="H18">
        <v>118.1</v>
      </c>
      <c r="I18">
        <v>137.9</v>
      </c>
      <c r="J18">
        <v>125.6</v>
      </c>
      <c r="K18">
        <v>138.30000000000001</v>
      </c>
      <c r="L18">
        <v>119.4</v>
      </c>
      <c r="M18">
        <v>136</v>
      </c>
      <c r="N18">
        <v>127.6</v>
      </c>
      <c r="O18">
        <v>144.5</v>
      </c>
      <c r="P18">
        <v>133.69999999999999</v>
      </c>
      <c r="Q18">
        <v>146.19999999999999</v>
      </c>
      <c r="R18">
        <v>138.19999999999999</v>
      </c>
      <c r="S18">
        <v>131.4</v>
      </c>
      <c r="T18">
        <v>137.19999999999999</v>
      </c>
      <c r="U18">
        <v>132.1</v>
      </c>
      <c r="V18">
        <v>129.4</v>
      </c>
      <c r="W18">
        <v>130.9</v>
      </c>
      <c r="X18">
        <v>128.4</v>
      </c>
      <c r="Y18">
        <v>116.7</v>
      </c>
      <c r="Z18">
        <v>125.7</v>
      </c>
      <c r="AA18">
        <v>134.80000000000001</v>
      </c>
      <c r="AB18">
        <v>123</v>
      </c>
      <c r="AC18">
        <v>125.3</v>
      </c>
      <c r="AD18">
        <v>131.4</v>
      </c>
    </row>
    <row r="19" spans="1:30" x14ac:dyDescent="0.3">
      <c r="A19" t="s">
        <v>34</v>
      </c>
      <c r="B19">
        <v>2017</v>
      </c>
      <c r="C19" t="s">
        <v>39</v>
      </c>
      <c r="D19">
        <v>133.30000000000001</v>
      </c>
      <c r="E19">
        <v>145.5</v>
      </c>
      <c r="F19">
        <v>128.1</v>
      </c>
      <c r="G19">
        <v>138.1</v>
      </c>
      <c r="H19">
        <v>118.2</v>
      </c>
      <c r="I19">
        <v>139.19999999999999</v>
      </c>
      <c r="J19">
        <v>133.30000000000001</v>
      </c>
      <c r="K19">
        <v>136.19999999999999</v>
      </c>
      <c r="L19">
        <v>119.6</v>
      </c>
      <c r="M19">
        <v>135.30000000000001</v>
      </c>
      <c r="N19">
        <v>127.8</v>
      </c>
      <c r="O19">
        <v>144.9</v>
      </c>
      <c r="P19">
        <v>135.19999999999999</v>
      </c>
      <c r="Q19">
        <v>146.5</v>
      </c>
      <c r="R19">
        <v>138.5</v>
      </c>
      <c r="S19">
        <v>131.69999999999999</v>
      </c>
      <c r="T19">
        <v>137.5</v>
      </c>
      <c r="U19">
        <v>131.4</v>
      </c>
      <c r="V19">
        <v>128.80000000000001</v>
      </c>
      <c r="W19">
        <v>131.19999999999999</v>
      </c>
      <c r="X19">
        <v>128.5</v>
      </c>
      <c r="Y19">
        <v>116.5</v>
      </c>
      <c r="Z19">
        <v>125.9</v>
      </c>
      <c r="AA19">
        <v>135.4</v>
      </c>
      <c r="AB19">
        <v>123.4</v>
      </c>
      <c r="AC19">
        <v>125.5</v>
      </c>
      <c r="AD19">
        <v>132</v>
      </c>
    </row>
    <row r="20" spans="1:30" x14ac:dyDescent="0.3">
      <c r="A20" t="s">
        <v>34</v>
      </c>
      <c r="B20">
        <v>2017</v>
      </c>
      <c r="C20" t="s">
        <v>40</v>
      </c>
      <c r="D20">
        <v>133.6</v>
      </c>
      <c r="E20">
        <v>145.69999999999999</v>
      </c>
      <c r="F20">
        <v>129.6</v>
      </c>
      <c r="G20">
        <v>138.5</v>
      </c>
      <c r="H20">
        <v>118.1</v>
      </c>
      <c r="I20">
        <v>141.80000000000001</v>
      </c>
      <c r="J20">
        <v>159.5</v>
      </c>
      <c r="K20">
        <v>133.6</v>
      </c>
      <c r="L20">
        <v>120.5</v>
      </c>
      <c r="M20">
        <v>135.19999999999999</v>
      </c>
      <c r="N20">
        <v>128.5</v>
      </c>
      <c r="O20">
        <v>145.80000000000001</v>
      </c>
      <c r="P20">
        <v>139</v>
      </c>
      <c r="Q20">
        <v>148.19999999999999</v>
      </c>
      <c r="R20">
        <v>139.30000000000001</v>
      </c>
      <c r="S20">
        <v>132.1</v>
      </c>
      <c r="T20">
        <v>138.30000000000001</v>
      </c>
      <c r="U20">
        <v>132.6</v>
      </c>
      <c r="V20">
        <v>129.4</v>
      </c>
      <c r="W20">
        <v>131.9</v>
      </c>
      <c r="X20">
        <v>129.4</v>
      </c>
      <c r="Y20">
        <v>116</v>
      </c>
      <c r="Z20">
        <v>126.6</v>
      </c>
      <c r="AA20">
        <v>136.80000000000001</v>
      </c>
      <c r="AB20">
        <v>123.6</v>
      </c>
      <c r="AC20">
        <v>125.9</v>
      </c>
      <c r="AD20">
        <v>134.19999999999999</v>
      </c>
    </row>
    <row r="21" spans="1:30" x14ac:dyDescent="0.3">
      <c r="A21" t="s">
        <v>34</v>
      </c>
      <c r="B21">
        <v>2017</v>
      </c>
      <c r="C21" t="s">
        <v>41</v>
      </c>
      <c r="D21">
        <v>134.30000000000001</v>
      </c>
      <c r="E21">
        <v>143.4</v>
      </c>
      <c r="F21">
        <v>129.30000000000001</v>
      </c>
      <c r="G21">
        <v>139</v>
      </c>
      <c r="H21">
        <v>118.1</v>
      </c>
      <c r="I21">
        <v>145.5</v>
      </c>
      <c r="J21">
        <v>168.6</v>
      </c>
      <c r="K21">
        <v>132.69999999999999</v>
      </c>
      <c r="L21">
        <v>121.2</v>
      </c>
      <c r="M21">
        <v>135.6</v>
      </c>
      <c r="N21">
        <v>128.69999999999999</v>
      </c>
      <c r="O21">
        <v>146.80000000000001</v>
      </c>
      <c r="P21">
        <v>140.6</v>
      </c>
      <c r="Q21">
        <v>149.80000000000001</v>
      </c>
      <c r="R21">
        <v>140.30000000000001</v>
      </c>
      <c r="S21">
        <v>133</v>
      </c>
      <c r="T21">
        <v>139.30000000000001</v>
      </c>
      <c r="U21">
        <v>134.4</v>
      </c>
      <c r="V21">
        <v>129.80000000000001</v>
      </c>
      <c r="W21">
        <v>132.80000000000001</v>
      </c>
      <c r="X21">
        <v>130.19999999999999</v>
      </c>
      <c r="Y21">
        <v>117.3</v>
      </c>
      <c r="Z21">
        <v>127.3</v>
      </c>
      <c r="AA21">
        <v>137.6</v>
      </c>
      <c r="AB21">
        <v>124.5</v>
      </c>
      <c r="AC21">
        <v>126.8</v>
      </c>
      <c r="AD21">
        <v>135.4</v>
      </c>
    </row>
    <row r="22" spans="1:30" x14ac:dyDescent="0.3">
      <c r="A22" t="s">
        <v>34</v>
      </c>
      <c r="B22">
        <v>2017</v>
      </c>
      <c r="C22" t="s">
        <v>42</v>
      </c>
      <c r="D22">
        <v>134.69999999999999</v>
      </c>
      <c r="E22">
        <v>142.4</v>
      </c>
      <c r="F22">
        <v>130.19999999999999</v>
      </c>
      <c r="G22">
        <v>139.6</v>
      </c>
      <c r="H22">
        <v>118.4</v>
      </c>
      <c r="I22">
        <v>143</v>
      </c>
      <c r="J22">
        <v>156.6</v>
      </c>
      <c r="K22">
        <v>132.9</v>
      </c>
      <c r="L22">
        <v>121.5</v>
      </c>
      <c r="M22">
        <v>135.6</v>
      </c>
      <c r="N22">
        <v>128.80000000000001</v>
      </c>
      <c r="O22">
        <v>147.30000000000001</v>
      </c>
      <c r="P22">
        <v>139</v>
      </c>
      <c r="Q22">
        <v>150.80000000000001</v>
      </c>
      <c r="R22">
        <v>141.1</v>
      </c>
      <c r="S22">
        <v>133.4</v>
      </c>
      <c r="T22">
        <v>140</v>
      </c>
      <c r="U22">
        <v>135.69999999999999</v>
      </c>
      <c r="V22">
        <v>131</v>
      </c>
      <c r="W22">
        <v>133.30000000000001</v>
      </c>
      <c r="X22">
        <v>130.6</v>
      </c>
      <c r="Y22">
        <v>118.3</v>
      </c>
      <c r="Z22">
        <v>127.9</v>
      </c>
      <c r="AA22">
        <v>137.4</v>
      </c>
      <c r="AB22">
        <v>125.7</v>
      </c>
      <c r="AC22">
        <v>127.5</v>
      </c>
      <c r="AD22">
        <v>135.19999999999999</v>
      </c>
    </row>
    <row r="23" spans="1:30" x14ac:dyDescent="0.3">
      <c r="A23" t="s">
        <v>34</v>
      </c>
      <c r="B23">
        <v>2017</v>
      </c>
      <c r="C23" t="s">
        <v>43</v>
      </c>
      <c r="D23">
        <v>135.30000000000001</v>
      </c>
      <c r="E23">
        <v>142.19999999999999</v>
      </c>
      <c r="F23">
        <v>131.19999999999999</v>
      </c>
      <c r="G23">
        <v>140.6</v>
      </c>
      <c r="H23">
        <v>119</v>
      </c>
      <c r="I23">
        <v>141.5</v>
      </c>
      <c r="J23">
        <v>162.6</v>
      </c>
      <c r="K23">
        <v>132.30000000000001</v>
      </c>
      <c r="L23">
        <v>121.8</v>
      </c>
      <c r="M23">
        <v>136.30000000000001</v>
      </c>
      <c r="N23">
        <v>128.69999999999999</v>
      </c>
      <c r="O23">
        <v>148.1</v>
      </c>
      <c r="P23">
        <v>140.1</v>
      </c>
      <c r="Q23">
        <v>151.6</v>
      </c>
      <c r="R23">
        <v>142</v>
      </c>
      <c r="S23">
        <v>134.1</v>
      </c>
      <c r="T23">
        <v>140.80000000000001</v>
      </c>
      <c r="U23">
        <v>137.30000000000001</v>
      </c>
      <c r="V23">
        <v>132.19999999999999</v>
      </c>
      <c r="W23">
        <v>133.6</v>
      </c>
      <c r="X23">
        <v>131.30000000000001</v>
      </c>
      <c r="Y23">
        <v>117.8</v>
      </c>
      <c r="Z23">
        <v>128.4</v>
      </c>
      <c r="AA23">
        <v>137.9</v>
      </c>
      <c r="AB23">
        <v>126.2</v>
      </c>
      <c r="AC23">
        <v>127.7</v>
      </c>
      <c r="AD23">
        <v>136.1</v>
      </c>
    </row>
    <row r="24" spans="1:30" x14ac:dyDescent="0.3">
      <c r="A24" t="s">
        <v>34</v>
      </c>
      <c r="B24">
        <v>2017</v>
      </c>
      <c r="C24" t="s">
        <v>45</v>
      </c>
      <c r="D24">
        <v>135.69999999999999</v>
      </c>
      <c r="E24">
        <v>142.4</v>
      </c>
      <c r="F24">
        <v>142.9</v>
      </c>
      <c r="G24">
        <v>140.80000000000001</v>
      </c>
      <c r="H24">
        <v>119.2</v>
      </c>
      <c r="I24">
        <v>142.19999999999999</v>
      </c>
      <c r="J24">
        <v>173.8</v>
      </c>
      <c r="K24">
        <v>131.19999999999999</v>
      </c>
      <c r="L24">
        <v>123</v>
      </c>
      <c r="M24">
        <v>136.80000000000001</v>
      </c>
      <c r="N24">
        <v>129.19999999999999</v>
      </c>
      <c r="O24">
        <v>148.9</v>
      </c>
      <c r="P24">
        <v>142.1</v>
      </c>
      <c r="Q24">
        <v>153.19999999999999</v>
      </c>
      <c r="R24">
        <v>143</v>
      </c>
      <c r="S24">
        <v>134.80000000000001</v>
      </c>
      <c r="T24">
        <v>141.80000000000001</v>
      </c>
      <c r="U24">
        <v>138.6</v>
      </c>
      <c r="V24">
        <v>135.30000000000001</v>
      </c>
      <c r="W24">
        <v>134.4</v>
      </c>
      <c r="X24">
        <v>132.6</v>
      </c>
      <c r="Y24">
        <v>118.3</v>
      </c>
      <c r="Z24">
        <v>128.9</v>
      </c>
      <c r="AA24">
        <v>138.6</v>
      </c>
      <c r="AB24">
        <v>126.8</v>
      </c>
      <c r="AC24">
        <v>128.4</v>
      </c>
      <c r="AD24">
        <v>137.6</v>
      </c>
    </row>
    <row r="25" spans="1:30" x14ac:dyDescent="0.3">
      <c r="A25" t="s">
        <v>34</v>
      </c>
      <c r="B25">
        <v>2017</v>
      </c>
      <c r="C25" t="s">
        <v>46</v>
      </c>
      <c r="D25">
        <v>135.80000000000001</v>
      </c>
      <c r="E25">
        <v>143.30000000000001</v>
      </c>
      <c r="F25">
        <v>145.19999999999999</v>
      </c>
      <c r="G25">
        <v>141</v>
      </c>
      <c r="H25">
        <v>120.5</v>
      </c>
      <c r="I25">
        <v>141.5</v>
      </c>
      <c r="J25">
        <v>161.69999999999999</v>
      </c>
      <c r="K25">
        <v>129.1</v>
      </c>
      <c r="L25">
        <v>121.5</v>
      </c>
      <c r="M25">
        <v>137.1</v>
      </c>
      <c r="N25">
        <v>128.80000000000001</v>
      </c>
      <c r="O25">
        <v>149</v>
      </c>
      <c r="P25">
        <v>140.5</v>
      </c>
      <c r="Q25">
        <v>154.19999999999999</v>
      </c>
      <c r="R25">
        <v>143.1</v>
      </c>
      <c r="S25">
        <v>135.1</v>
      </c>
      <c r="T25">
        <v>142</v>
      </c>
      <c r="U25">
        <v>139.1</v>
      </c>
      <c r="V25">
        <v>136.6</v>
      </c>
      <c r="W25">
        <v>134.69999999999999</v>
      </c>
      <c r="X25">
        <v>133.1</v>
      </c>
      <c r="Y25">
        <v>118.5</v>
      </c>
      <c r="Z25">
        <v>129</v>
      </c>
      <c r="AA25">
        <v>138.5</v>
      </c>
      <c r="AB25">
        <v>126.5</v>
      </c>
      <c r="AC25">
        <v>128.6</v>
      </c>
      <c r="AD25">
        <v>137.19999999999999</v>
      </c>
    </row>
    <row r="26" spans="1:30" x14ac:dyDescent="0.3">
      <c r="A26" t="s">
        <v>34</v>
      </c>
      <c r="B26">
        <v>2018</v>
      </c>
      <c r="C26" t="s">
        <v>31</v>
      </c>
      <c r="D26">
        <v>136</v>
      </c>
      <c r="E26">
        <v>144.19999999999999</v>
      </c>
      <c r="F26">
        <v>143.69999999999999</v>
      </c>
      <c r="G26">
        <v>141.1</v>
      </c>
      <c r="H26">
        <v>120.7</v>
      </c>
      <c r="I26">
        <v>141.30000000000001</v>
      </c>
      <c r="J26">
        <v>151.6</v>
      </c>
      <c r="K26">
        <v>127.3</v>
      </c>
      <c r="L26">
        <v>118.8</v>
      </c>
      <c r="M26">
        <v>137.5</v>
      </c>
      <c r="N26">
        <v>129</v>
      </c>
      <c r="O26">
        <v>149.5</v>
      </c>
      <c r="P26">
        <v>139.19999999999999</v>
      </c>
      <c r="Q26">
        <v>154.69999999999999</v>
      </c>
      <c r="R26">
        <v>143.5</v>
      </c>
      <c r="S26">
        <v>135.5</v>
      </c>
      <c r="T26">
        <v>142.30000000000001</v>
      </c>
      <c r="U26">
        <v>140.4</v>
      </c>
      <c r="V26">
        <v>136.6</v>
      </c>
      <c r="W26">
        <v>134.9</v>
      </c>
      <c r="X26">
        <v>133.30000000000001</v>
      </c>
      <c r="Y26">
        <v>119.3</v>
      </c>
      <c r="Z26">
        <v>129.69999999999999</v>
      </c>
      <c r="AA26">
        <v>139</v>
      </c>
      <c r="AB26">
        <v>127.3</v>
      </c>
      <c r="AC26">
        <v>129.1</v>
      </c>
      <c r="AD26">
        <v>136.9</v>
      </c>
    </row>
    <row r="27" spans="1:30" x14ac:dyDescent="0.3">
      <c r="A27" t="s">
        <v>34</v>
      </c>
      <c r="B27">
        <v>2018</v>
      </c>
      <c r="C27" t="s">
        <v>35</v>
      </c>
      <c r="D27">
        <v>135.9</v>
      </c>
      <c r="E27">
        <v>143.5</v>
      </c>
      <c r="F27">
        <v>140.30000000000001</v>
      </c>
      <c r="G27">
        <v>140.9</v>
      </c>
      <c r="H27">
        <v>120.4</v>
      </c>
      <c r="I27">
        <v>142.9</v>
      </c>
      <c r="J27">
        <v>140.5</v>
      </c>
      <c r="K27">
        <v>125.8</v>
      </c>
      <c r="L27">
        <v>117.1</v>
      </c>
      <c r="M27">
        <v>137.30000000000001</v>
      </c>
      <c r="N27">
        <v>128.6</v>
      </c>
      <c r="O27">
        <v>149.6</v>
      </c>
      <c r="P27">
        <v>137.6</v>
      </c>
      <c r="Q27">
        <v>154.9</v>
      </c>
      <c r="R27">
        <v>143.80000000000001</v>
      </c>
      <c r="S27">
        <v>135.6</v>
      </c>
      <c r="T27">
        <v>142.6</v>
      </c>
      <c r="U27">
        <v>141.30000000000001</v>
      </c>
      <c r="V27">
        <v>136.69999999999999</v>
      </c>
      <c r="W27">
        <v>135.19999999999999</v>
      </c>
      <c r="X27">
        <v>133.80000000000001</v>
      </c>
      <c r="Y27">
        <v>120.2</v>
      </c>
      <c r="Z27">
        <v>129.9</v>
      </c>
      <c r="AA27">
        <v>139</v>
      </c>
      <c r="AB27">
        <v>127.7</v>
      </c>
      <c r="AC27">
        <v>129.6</v>
      </c>
      <c r="AD27">
        <v>136.4</v>
      </c>
    </row>
    <row r="28" spans="1:30" x14ac:dyDescent="0.3">
      <c r="A28" t="s">
        <v>34</v>
      </c>
      <c r="B28">
        <v>2018</v>
      </c>
      <c r="C28" t="s">
        <v>36</v>
      </c>
      <c r="D28">
        <v>136.19999999999999</v>
      </c>
      <c r="E28">
        <v>143.6</v>
      </c>
      <c r="F28">
        <v>138.30000000000001</v>
      </c>
      <c r="G28">
        <v>141.19999999999999</v>
      </c>
      <c r="H28">
        <v>120.7</v>
      </c>
      <c r="I28">
        <v>146.19999999999999</v>
      </c>
      <c r="J28">
        <v>134.6</v>
      </c>
      <c r="K28">
        <v>124.6</v>
      </c>
      <c r="L28">
        <v>116.1</v>
      </c>
      <c r="M28">
        <v>137.80000000000001</v>
      </c>
      <c r="N28">
        <v>129.1</v>
      </c>
      <c r="O28">
        <v>150.4</v>
      </c>
      <c r="P28">
        <v>137.19999999999999</v>
      </c>
      <c r="Q28">
        <v>156.30000000000001</v>
      </c>
      <c r="R28">
        <v>144.30000000000001</v>
      </c>
      <c r="S28">
        <v>136.19999999999999</v>
      </c>
      <c r="T28">
        <v>143.1</v>
      </c>
      <c r="U28">
        <v>142</v>
      </c>
      <c r="V28">
        <v>136.5</v>
      </c>
      <c r="W28">
        <v>135.6</v>
      </c>
      <c r="X28">
        <v>134.30000000000001</v>
      </c>
      <c r="Y28">
        <v>121</v>
      </c>
      <c r="Z28">
        <v>130.4</v>
      </c>
      <c r="AA28">
        <v>139.80000000000001</v>
      </c>
      <c r="AB28">
        <v>128.19999999999999</v>
      </c>
      <c r="AC28">
        <v>130.30000000000001</v>
      </c>
      <c r="AD28">
        <v>136.5</v>
      </c>
    </row>
    <row r="29" spans="1:30" x14ac:dyDescent="0.3">
      <c r="A29" t="s">
        <v>34</v>
      </c>
      <c r="B29">
        <v>2018</v>
      </c>
      <c r="C29" t="s">
        <v>37</v>
      </c>
      <c r="D29">
        <v>136.4</v>
      </c>
      <c r="E29">
        <v>144.4</v>
      </c>
      <c r="F29">
        <v>133.9</v>
      </c>
      <c r="G29">
        <v>141.6</v>
      </c>
      <c r="H29">
        <v>121</v>
      </c>
      <c r="I29">
        <v>153.5</v>
      </c>
      <c r="J29">
        <v>132.6</v>
      </c>
      <c r="K29">
        <v>123.5</v>
      </c>
      <c r="L29">
        <v>113.7</v>
      </c>
      <c r="M29">
        <v>138.19999999999999</v>
      </c>
      <c r="N29">
        <v>129.6</v>
      </c>
      <c r="O29">
        <v>151.19999999999999</v>
      </c>
      <c r="P29">
        <v>137.5</v>
      </c>
      <c r="Q29">
        <v>156.9</v>
      </c>
      <c r="R29">
        <v>145.30000000000001</v>
      </c>
      <c r="S29">
        <v>136.69999999999999</v>
      </c>
      <c r="T29">
        <v>144</v>
      </c>
      <c r="U29">
        <v>142.9</v>
      </c>
      <c r="V29">
        <v>136.5</v>
      </c>
      <c r="W29">
        <v>136.6</v>
      </c>
      <c r="X29">
        <v>135.19999999999999</v>
      </c>
      <c r="Y29">
        <v>121.9</v>
      </c>
      <c r="Z29">
        <v>131.30000000000001</v>
      </c>
      <c r="AA29">
        <v>141.4</v>
      </c>
      <c r="AB29">
        <v>129.19999999999999</v>
      </c>
      <c r="AC29">
        <v>131.30000000000001</v>
      </c>
      <c r="AD29">
        <v>137.1</v>
      </c>
    </row>
    <row r="30" spans="1:30" x14ac:dyDescent="0.3">
      <c r="A30" t="s">
        <v>34</v>
      </c>
      <c r="B30">
        <v>2018</v>
      </c>
      <c r="C30" t="s">
        <v>38</v>
      </c>
      <c r="D30">
        <v>136.6</v>
      </c>
      <c r="E30">
        <v>146.6</v>
      </c>
      <c r="F30">
        <v>133.6</v>
      </c>
      <c r="G30">
        <v>142.1</v>
      </c>
      <c r="H30">
        <v>121</v>
      </c>
      <c r="I30">
        <v>154.6</v>
      </c>
      <c r="J30">
        <v>135.6</v>
      </c>
      <c r="K30">
        <v>122.3</v>
      </c>
      <c r="L30">
        <v>109.6</v>
      </c>
      <c r="M30">
        <v>138.1</v>
      </c>
      <c r="N30">
        <v>129.9</v>
      </c>
      <c r="O30">
        <v>151.69999999999999</v>
      </c>
      <c r="P30">
        <v>138.1</v>
      </c>
      <c r="Q30">
        <v>157.9</v>
      </c>
      <c r="R30">
        <v>146</v>
      </c>
      <c r="S30">
        <v>137.4</v>
      </c>
      <c r="T30">
        <v>144.69999999999999</v>
      </c>
      <c r="U30">
        <v>143.19999999999999</v>
      </c>
      <c r="V30">
        <v>136.9</v>
      </c>
      <c r="W30">
        <v>137.4</v>
      </c>
      <c r="X30">
        <v>136</v>
      </c>
      <c r="Y30">
        <v>122.9</v>
      </c>
      <c r="Z30">
        <v>131.80000000000001</v>
      </c>
      <c r="AA30">
        <v>142.1</v>
      </c>
      <c r="AB30">
        <v>129.9</v>
      </c>
      <c r="AC30">
        <v>132.1</v>
      </c>
      <c r="AD30">
        <v>137.80000000000001</v>
      </c>
    </row>
    <row r="31" spans="1:30" x14ac:dyDescent="0.3">
      <c r="A31" t="s">
        <v>34</v>
      </c>
      <c r="B31">
        <v>2018</v>
      </c>
      <c r="C31" t="s">
        <v>39</v>
      </c>
      <c r="D31">
        <v>136.9</v>
      </c>
      <c r="E31">
        <v>148.69999999999999</v>
      </c>
      <c r="F31">
        <v>135.6</v>
      </c>
      <c r="G31">
        <v>142.30000000000001</v>
      </c>
      <c r="H31">
        <v>121.3</v>
      </c>
      <c r="I31">
        <v>153.19999999999999</v>
      </c>
      <c r="J31">
        <v>143.69999999999999</v>
      </c>
      <c r="K31">
        <v>121.4</v>
      </c>
      <c r="L31">
        <v>111.1</v>
      </c>
      <c r="M31">
        <v>138.4</v>
      </c>
      <c r="N31">
        <v>130.30000000000001</v>
      </c>
      <c r="O31">
        <v>151.80000000000001</v>
      </c>
      <c r="P31">
        <v>139.4</v>
      </c>
      <c r="Q31">
        <v>158.30000000000001</v>
      </c>
      <c r="R31">
        <v>146.4</v>
      </c>
      <c r="S31">
        <v>138.1</v>
      </c>
      <c r="T31">
        <v>145.19999999999999</v>
      </c>
      <c r="U31">
        <v>142.5</v>
      </c>
      <c r="V31">
        <v>138.1</v>
      </c>
      <c r="W31">
        <v>137.9</v>
      </c>
      <c r="X31">
        <v>136.19999999999999</v>
      </c>
      <c r="Y31">
        <v>123.7</v>
      </c>
      <c r="Z31">
        <v>132.6</v>
      </c>
      <c r="AA31">
        <v>142.80000000000001</v>
      </c>
      <c r="AB31">
        <v>130.1</v>
      </c>
      <c r="AC31">
        <v>132.6</v>
      </c>
      <c r="AD31">
        <v>138.5</v>
      </c>
    </row>
    <row r="32" spans="1:30" x14ac:dyDescent="0.3">
      <c r="A32" t="s">
        <v>34</v>
      </c>
      <c r="B32">
        <v>2018</v>
      </c>
      <c r="C32" t="s">
        <v>40</v>
      </c>
      <c r="D32">
        <v>137.5</v>
      </c>
      <c r="E32">
        <v>149.1</v>
      </c>
      <c r="F32">
        <v>139.19999999999999</v>
      </c>
      <c r="G32">
        <v>142.5</v>
      </c>
      <c r="H32">
        <v>121.4</v>
      </c>
      <c r="I32">
        <v>151.6</v>
      </c>
      <c r="J32">
        <v>155.9</v>
      </c>
      <c r="K32">
        <v>121.7</v>
      </c>
      <c r="L32">
        <v>113.5</v>
      </c>
      <c r="M32">
        <v>138.9</v>
      </c>
      <c r="N32">
        <v>130.30000000000001</v>
      </c>
      <c r="O32">
        <v>152.30000000000001</v>
      </c>
      <c r="P32">
        <v>141.4</v>
      </c>
      <c r="Q32">
        <v>157.5</v>
      </c>
      <c r="R32">
        <v>146.80000000000001</v>
      </c>
      <c r="S32">
        <v>138.4</v>
      </c>
      <c r="T32">
        <v>145.6</v>
      </c>
      <c r="U32">
        <v>143.6</v>
      </c>
      <c r="V32">
        <v>139.69999999999999</v>
      </c>
      <c r="W32">
        <v>138.6</v>
      </c>
      <c r="X32">
        <v>137</v>
      </c>
      <c r="Y32">
        <v>123.6</v>
      </c>
      <c r="Z32">
        <v>133.1</v>
      </c>
      <c r="AA32">
        <v>144.69999999999999</v>
      </c>
      <c r="AB32">
        <v>130.1</v>
      </c>
      <c r="AC32">
        <v>133.19999999999999</v>
      </c>
      <c r="AD32">
        <v>139.80000000000001</v>
      </c>
    </row>
    <row r="33" spans="1:30" x14ac:dyDescent="0.3">
      <c r="A33" t="s">
        <v>34</v>
      </c>
      <c r="B33">
        <v>2018</v>
      </c>
      <c r="C33" t="s">
        <v>41</v>
      </c>
      <c r="D33">
        <v>138.30000000000001</v>
      </c>
      <c r="E33">
        <v>148</v>
      </c>
      <c r="F33">
        <v>138.1</v>
      </c>
      <c r="G33">
        <v>142.6</v>
      </c>
      <c r="H33">
        <v>122.2</v>
      </c>
      <c r="I33">
        <v>150.6</v>
      </c>
      <c r="J33">
        <v>156.6</v>
      </c>
      <c r="K33">
        <v>122.4</v>
      </c>
      <c r="L33">
        <v>114.7</v>
      </c>
      <c r="M33">
        <v>139.4</v>
      </c>
      <c r="N33">
        <v>131.1</v>
      </c>
      <c r="O33">
        <v>153</v>
      </c>
      <c r="P33">
        <v>141.69999999999999</v>
      </c>
      <c r="Q33">
        <v>157.9</v>
      </c>
      <c r="R33">
        <v>147.30000000000001</v>
      </c>
      <c r="S33">
        <v>138.80000000000001</v>
      </c>
      <c r="T33">
        <v>146.1</v>
      </c>
      <c r="U33">
        <v>144.6</v>
      </c>
      <c r="V33">
        <v>140.9</v>
      </c>
      <c r="W33">
        <v>139.4</v>
      </c>
      <c r="X33">
        <v>137.69999999999999</v>
      </c>
      <c r="Y33">
        <v>124.3</v>
      </c>
      <c r="Z33">
        <v>133.6</v>
      </c>
      <c r="AA33">
        <v>146</v>
      </c>
      <c r="AB33">
        <v>130.1</v>
      </c>
      <c r="AC33">
        <v>133.9</v>
      </c>
      <c r="AD33">
        <v>140.4</v>
      </c>
    </row>
    <row r="34" spans="1:30" x14ac:dyDescent="0.3">
      <c r="A34" t="s">
        <v>34</v>
      </c>
      <c r="B34">
        <v>2018</v>
      </c>
      <c r="C34" t="s">
        <v>42</v>
      </c>
      <c r="D34">
        <v>138.6</v>
      </c>
      <c r="E34">
        <v>145.80000000000001</v>
      </c>
      <c r="F34">
        <v>135.1</v>
      </c>
      <c r="G34">
        <v>142.9</v>
      </c>
      <c r="H34">
        <v>122.1</v>
      </c>
      <c r="I34">
        <v>145.4</v>
      </c>
      <c r="J34">
        <v>150</v>
      </c>
      <c r="K34">
        <v>121.4</v>
      </c>
      <c r="L34">
        <v>113.7</v>
      </c>
      <c r="M34">
        <v>139.5</v>
      </c>
      <c r="N34">
        <v>130.80000000000001</v>
      </c>
      <c r="O34">
        <v>153.80000000000001</v>
      </c>
      <c r="P34">
        <v>140.4</v>
      </c>
      <c r="Q34">
        <v>159.19999999999999</v>
      </c>
      <c r="R34">
        <v>147.69999999999999</v>
      </c>
      <c r="S34">
        <v>139.1</v>
      </c>
      <c r="T34">
        <v>146.5</v>
      </c>
      <c r="U34">
        <v>145.30000000000001</v>
      </c>
      <c r="V34">
        <v>142.30000000000001</v>
      </c>
      <c r="W34">
        <v>139.69999999999999</v>
      </c>
      <c r="X34">
        <v>138.4</v>
      </c>
      <c r="Y34">
        <v>126</v>
      </c>
      <c r="Z34">
        <v>134.5</v>
      </c>
      <c r="AA34">
        <v>146.19999999999999</v>
      </c>
      <c r="AB34">
        <v>130.9</v>
      </c>
      <c r="AC34">
        <v>134.69999999999999</v>
      </c>
      <c r="AD34">
        <v>140.19999999999999</v>
      </c>
    </row>
    <row r="35" spans="1:30" x14ac:dyDescent="0.3">
      <c r="A35" t="s">
        <v>34</v>
      </c>
      <c r="B35">
        <v>2018</v>
      </c>
      <c r="C35" t="s">
        <v>43</v>
      </c>
      <c r="D35">
        <v>137.4</v>
      </c>
      <c r="E35">
        <v>149.5</v>
      </c>
      <c r="F35">
        <v>137.30000000000001</v>
      </c>
      <c r="G35">
        <v>141.9</v>
      </c>
      <c r="H35">
        <v>121.1</v>
      </c>
      <c r="I35">
        <v>142.5</v>
      </c>
      <c r="J35">
        <v>146.69999999999999</v>
      </c>
      <c r="K35">
        <v>119.1</v>
      </c>
      <c r="L35">
        <v>111.9</v>
      </c>
      <c r="M35">
        <v>141</v>
      </c>
      <c r="N35">
        <v>133.6</v>
      </c>
      <c r="O35">
        <v>154.5</v>
      </c>
      <c r="P35">
        <v>139.69999999999999</v>
      </c>
      <c r="Q35">
        <v>162.6</v>
      </c>
      <c r="R35">
        <v>148</v>
      </c>
      <c r="S35">
        <v>139.19999999999999</v>
      </c>
      <c r="T35">
        <v>146.80000000000001</v>
      </c>
      <c r="U35">
        <v>146.9</v>
      </c>
      <c r="V35">
        <v>145.30000000000001</v>
      </c>
      <c r="W35">
        <v>142.19999999999999</v>
      </c>
      <c r="X35">
        <v>142.1</v>
      </c>
      <c r="Y35">
        <v>125.5</v>
      </c>
      <c r="Z35">
        <v>136.5</v>
      </c>
      <c r="AA35">
        <v>147.80000000000001</v>
      </c>
      <c r="AB35">
        <v>132</v>
      </c>
      <c r="AC35">
        <v>136.30000000000001</v>
      </c>
      <c r="AD35">
        <v>140.80000000000001</v>
      </c>
    </row>
    <row r="36" spans="1:30" x14ac:dyDescent="0.3">
      <c r="A36" t="s">
        <v>34</v>
      </c>
      <c r="B36">
        <v>2018</v>
      </c>
      <c r="C36" t="s">
        <v>45</v>
      </c>
      <c r="D36">
        <v>137.4</v>
      </c>
      <c r="E36">
        <v>149.19999999999999</v>
      </c>
      <c r="F36">
        <v>137.1</v>
      </c>
      <c r="G36">
        <v>141.80000000000001</v>
      </c>
      <c r="H36">
        <v>121.1</v>
      </c>
      <c r="I36">
        <v>142.80000000000001</v>
      </c>
      <c r="J36">
        <v>146.69999999999999</v>
      </c>
      <c r="K36">
        <v>119.1</v>
      </c>
      <c r="L36">
        <v>111.9</v>
      </c>
      <c r="M36">
        <v>140.9</v>
      </c>
      <c r="N36">
        <v>133.5</v>
      </c>
      <c r="O36">
        <v>154.5</v>
      </c>
      <c r="P36">
        <v>139.69999999999999</v>
      </c>
      <c r="Q36">
        <v>162.6</v>
      </c>
      <c r="R36">
        <v>148</v>
      </c>
      <c r="S36">
        <v>139.1</v>
      </c>
      <c r="T36">
        <v>146.69999999999999</v>
      </c>
      <c r="U36">
        <v>146.9</v>
      </c>
      <c r="V36">
        <v>145.1</v>
      </c>
      <c r="W36">
        <v>142.19999999999999</v>
      </c>
      <c r="X36">
        <v>142.1</v>
      </c>
      <c r="Y36">
        <v>125.5</v>
      </c>
      <c r="Z36">
        <v>136.5</v>
      </c>
      <c r="AA36">
        <v>147.80000000000001</v>
      </c>
      <c r="AB36">
        <v>132</v>
      </c>
      <c r="AC36">
        <v>136.30000000000001</v>
      </c>
      <c r="AD36">
        <v>140.80000000000001</v>
      </c>
    </row>
    <row r="37" spans="1:30" x14ac:dyDescent="0.3">
      <c r="A37" t="s">
        <v>34</v>
      </c>
      <c r="B37">
        <v>2018</v>
      </c>
      <c r="C37" t="s">
        <v>46</v>
      </c>
      <c r="D37">
        <v>137.5</v>
      </c>
      <c r="E37">
        <v>150.5</v>
      </c>
      <c r="F37">
        <v>138.80000000000001</v>
      </c>
      <c r="G37">
        <v>142.1</v>
      </c>
      <c r="H37">
        <v>122</v>
      </c>
      <c r="I37">
        <v>139.4</v>
      </c>
      <c r="J37">
        <v>135.19999999999999</v>
      </c>
      <c r="K37">
        <v>119.8</v>
      </c>
      <c r="L37">
        <v>110.3</v>
      </c>
      <c r="M37">
        <v>140.6</v>
      </c>
      <c r="N37">
        <v>133.80000000000001</v>
      </c>
      <c r="O37">
        <v>154.6</v>
      </c>
      <c r="P37">
        <v>138.19999999999999</v>
      </c>
      <c r="Q37">
        <v>163</v>
      </c>
      <c r="R37">
        <v>148.1</v>
      </c>
      <c r="S37">
        <v>139.4</v>
      </c>
      <c r="T37">
        <v>146.80000000000001</v>
      </c>
      <c r="U37">
        <v>146.5</v>
      </c>
      <c r="V37">
        <v>142.69999999999999</v>
      </c>
      <c r="W37">
        <v>143.19999999999999</v>
      </c>
      <c r="X37">
        <v>144.9</v>
      </c>
      <c r="Y37">
        <v>123.6</v>
      </c>
      <c r="Z37">
        <v>136.80000000000001</v>
      </c>
      <c r="AA37">
        <v>150.1</v>
      </c>
      <c r="AB37">
        <v>132.19999999999999</v>
      </c>
      <c r="AC37">
        <v>136.80000000000001</v>
      </c>
      <c r="AD37">
        <v>140.1</v>
      </c>
    </row>
    <row r="38" spans="1:30" x14ac:dyDescent="0.3">
      <c r="A38" t="s">
        <v>34</v>
      </c>
      <c r="B38">
        <v>2019</v>
      </c>
      <c r="C38" t="s">
        <v>31</v>
      </c>
      <c r="D38">
        <v>137.1</v>
      </c>
      <c r="E38">
        <v>151.4</v>
      </c>
      <c r="F38">
        <v>140.19999999999999</v>
      </c>
      <c r="G38">
        <v>142.1</v>
      </c>
      <c r="H38">
        <v>121.8</v>
      </c>
      <c r="I38">
        <v>135.4</v>
      </c>
      <c r="J38">
        <v>131.30000000000001</v>
      </c>
      <c r="K38">
        <v>120.3</v>
      </c>
      <c r="L38">
        <v>109.1</v>
      </c>
      <c r="M38">
        <v>139.4</v>
      </c>
      <c r="N38">
        <v>133.30000000000001</v>
      </c>
      <c r="O38">
        <v>154.6</v>
      </c>
      <c r="P38">
        <v>137.4</v>
      </c>
      <c r="Q38">
        <v>163.19999999999999</v>
      </c>
      <c r="R38">
        <v>147.6</v>
      </c>
      <c r="S38">
        <v>139</v>
      </c>
      <c r="T38">
        <v>146.4</v>
      </c>
      <c r="U38">
        <v>147.69999999999999</v>
      </c>
      <c r="V38">
        <v>139.5</v>
      </c>
      <c r="W38">
        <v>143.6</v>
      </c>
      <c r="X38">
        <v>145.1</v>
      </c>
      <c r="Y38">
        <v>123.3</v>
      </c>
      <c r="Z38">
        <v>136.69999999999999</v>
      </c>
      <c r="AA38">
        <v>150.19999999999999</v>
      </c>
      <c r="AB38">
        <v>132.80000000000001</v>
      </c>
      <c r="AC38">
        <v>136.9</v>
      </c>
      <c r="AD38">
        <v>139.6</v>
      </c>
    </row>
    <row r="39" spans="1:30" x14ac:dyDescent="0.3">
      <c r="A39" t="s">
        <v>34</v>
      </c>
      <c r="B39">
        <v>2019</v>
      </c>
      <c r="C39" t="s">
        <v>35</v>
      </c>
      <c r="D39">
        <v>137.6</v>
      </c>
      <c r="E39">
        <v>152</v>
      </c>
      <c r="F39">
        <v>141.5</v>
      </c>
      <c r="G39">
        <v>142.19999999999999</v>
      </c>
      <c r="H39">
        <v>122</v>
      </c>
      <c r="I39">
        <v>136.4</v>
      </c>
      <c r="J39">
        <v>129.69999999999999</v>
      </c>
      <c r="K39">
        <v>121</v>
      </c>
      <c r="L39">
        <v>109</v>
      </c>
      <c r="M39">
        <v>139.69999999999999</v>
      </c>
      <c r="N39">
        <v>133.6</v>
      </c>
      <c r="O39">
        <v>154.9</v>
      </c>
      <c r="P39">
        <v>137.5</v>
      </c>
      <c r="Q39">
        <v>163.4</v>
      </c>
      <c r="R39">
        <v>147.69999999999999</v>
      </c>
      <c r="S39">
        <v>139.69999999999999</v>
      </c>
      <c r="T39">
        <v>146.5</v>
      </c>
      <c r="U39">
        <v>148.5</v>
      </c>
      <c r="V39">
        <v>138.4</v>
      </c>
      <c r="W39">
        <v>143.69999999999999</v>
      </c>
      <c r="X39">
        <v>145.6</v>
      </c>
      <c r="Y39">
        <v>123.9</v>
      </c>
      <c r="Z39">
        <v>137.1</v>
      </c>
      <c r="AA39">
        <v>150.30000000000001</v>
      </c>
      <c r="AB39">
        <v>134.1</v>
      </c>
      <c r="AC39">
        <v>137.4</v>
      </c>
      <c r="AD39">
        <v>139.9</v>
      </c>
    </row>
    <row r="40" spans="1:30" x14ac:dyDescent="0.3">
      <c r="A40" t="s">
        <v>34</v>
      </c>
      <c r="B40">
        <v>2019</v>
      </c>
      <c r="C40" t="s">
        <v>36</v>
      </c>
      <c r="D40">
        <v>137.80000000000001</v>
      </c>
      <c r="E40">
        <v>153</v>
      </c>
      <c r="F40">
        <v>140.30000000000001</v>
      </c>
      <c r="G40">
        <v>142.30000000000001</v>
      </c>
      <c r="H40">
        <v>122</v>
      </c>
      <c r="I40">
        <v>137.6</v>
      </c>
      <c r="J40">
        <v>132.6</v>
      </c>
      <c r="K40">
        <v>121.8</v>
      </c>
      <c r="L40">
        <v>109</v>
      </c>
      <c r="M40">
        <v>139.5</v>
      </c>
      <c r="N40">
        <v>133.69999999999999</v>
      </c>
      <c r="O40">
        <v>155.19999999999999</v>
      </c>
      <c r="P40">
        <v>138.1</v>
      </c>
      <c r="Q40">
        <v>163.5</v>
      </c>
      <c r="R40">
        <v>147.9</v>
      </c>
      <c r="S40">
        <v>139.9</v>
      </c>
      <c r="T40">
        <v>146.69999999999999</v>
      </c>
      <c r="U40">
        <v>149</v>
      </c>
      <c r="V40">
        <v>139.69999999999999</v>
      </c>
      <c r="W40">
        <v>143.80000000000001</v>
      </c>
      <c r="X40">
        <v>146.19999999999999</v>
      </c>
      <c r="Y40">
        <v>124.6</v>
      </c>
      <c r="Z40">
        <v>137.69999999999999</v>
      </c>
      <c r="AA40">
        <v>150.30000000000001</v>
      </c>
      <c r="AB40">
        <v>133.4</v>
      </c>
      <c r="AC40">
        <v>137.69999999999999</v>
      </c>
      <c r="AD40">
        <v>140.4</v>
      </c>
    </row>
    <row r="41" spans="1:30" x14ac:dyDescent="0.3">
      <c r="A41" t="s">
        <v>34</v>
      </c>
      <c r="B41">
        <v>2019</v>
      </c>
      <c r="C41" t="s">
        <v>38</v>
      </c>
      <c r="D41">
        <v>138.30000000000001</v>
      </c>
      <c r="E41">
        <v>158.5</v>
      </c>
      <c r="F41">
        <v>136</v>
      </c>
      <c r="G41">
        <v>142.5</v>
      </c>
      <c r="H41">
        <v>122</v>
      </c>
      <c r="I41">
        <v>146.5</v>
      </c>
      <c r="J41">
        <v>143</v>
      </c>
      <c r="K41">
        <v>124.9</v>
      </c>
      <c r="L41">
        <v>109.9</v>
      </c>
      <c r="M41">
        <v>139.9</v>
      </c>
      <c r="N41">
        <v>134</v>
      </c>
      <c r="O41">
        <v>155.5</v>
      </c>
      <c r="P41">
        <v>140.9</v>
      </c>
      <c r="Q41">
        <v>164.1</v>
      </c>
      <c r="R41">
        <v>148.4</v>
      </c>
      <c r="S41">
        <v>140.4</v>
      </c>
      <c r="T41">
        <v>147.30000000000001</v>
      </c>
      <c r="U41">
        <v>150.1</v>
      </c>
      <c r="V41">
        <v>140.30000000000001</v>
      </c>
      <c r="W41">
        <v>143.69999999999999</v>
      </c>
      <c r="X41">
        <v>146.9</v>
      </c>
      <c r="Y41">
        <v>124.9</v>
      </c>
      <c r="Z41">
        <v>139.19999999999999</v>
      </c>
      <c r="AA41">
        <v>151.6</v>
      </c>
      <c r="AB41">
        <v>133.4</v>
      </c>
      <c r="AC41">
        <v>138.19999999999999</v>
      </c>
      <c r="AD41">
        <v>142</v>
      </c>
    </row>
    <row r="42" spans="1:30" x14ac:dyDescent="0.3">
      <c r="A42" t="s">
        <v>34</v>
      </c>
      <c r="B42">
        <v>2019</v>
      </c>
      <c r="C42" t="s">
        <v>39</v>
      </c>
      <c r="D42">
        <v>138.69999999999999</v>
      </c>
      <c r="E42">
        <v>162.1</v>
      </c>
      <c r="F42">
        <v>137.80000000000001</v>
      </c>
      <c r="G42">
        <v>143.30000000000001</v>
      </c>
      <c r="H42">
        <v>122.2</v>
      </c>
      <c r="I42">
        <v>146.80000000000001</v>
      </c>
      <c r="J42">
        <v>150.5</v>
      </c>
      <c r="K42">
        <v>128.30000000000001</v>
      </c>
      <c r="L42">
        <v>111</v>
      </c>
      <c r="M42">
        <v>140.6</v>
      </c>
      <c r="N42">
        <v>134.19999999999999</v>
      </c>
      <c r="O42">
        <v>155.9</v>
      </c>
      <c r="P42">
        <v>142.69999999999999</v>
      </c>
      <c r="Q42">
        <v>164.9</v>
      </c>
      <c r="R42">
        <v>148.6</v>
      </c>
      <c r="S42">
        <v>140.4</v>
      </c>
      <c r="T42">
        <v>147.4</v>
      </c>
      <c r="U42">
        <v>149.4</v>
      </c>
      <c r="V42">
        <v>141.19999999999999</v>
      </c>
      <c r="W42">
        <v>143.80000000000001</v>
      </c>
      <c r="X42">
        <v>147.4</v>
      </c>
      <c r="Y42">
        <v>124.6</v>
      </c>
      <c r="Z42">
        <v>139.6</v>
      </c>
      <c r="AA42">
        <v>152.5</v>
      </c>
      <c r="AB42">
        <v>134.30000000000001</v>
      </c>
      <c r="AC42">
        <v>138.6</v>
      </c>
      <c r="AD42">
        <v>142.9</v>
      </c>
    </row>
    <row r="43" spans="1:30" x14ac:dyDescent="0.3">
      <c r="A43" t="s">
        <v>34</v>
      </c>
      <c r="B43">
        <v>2019</v>
      </c>
      <c r="C43" t="s">
        <v>40</v>
      </c>
      <c r="D43">
        <v>139.30000000000001</v>
      </c>
      <c r="E43">
        <v>162.69999999999999</v>
      </c>
      <c r="F43">
        <v>140</v>
      </c>
      <c r="G43">
        <v>144</v>
      </c>
      <c r="H43">
        <v>122.5</v>
      </c>
      <c r="I43">
        <v>150.30000000000001</v>
      </c>
      <c r="J43">
        <v>160.30000000000001</v>
      </c>
      <c r="K43">
        <v>130</v>
      </c>
      <c r="L43">
        <v>111.1</v>
      </c>
      <c r="M43">
        <v>141.69999999999999</v>
      </c>
      <c r="N43">
        <v>134.69999999999999</v>
      </c>
      <c r="O43">
        <v>156.19999999999999</v>
      </c>
      <c r="P43">
        <v>144.69999999999999</v>
      </c>
      <c r="Q43">
        <v>165.2</v>
      </c>
      <c r="R43">
        <v>148.9</v>
      </c>
      <c r="S43">
        <v>140.5</v>
      </c>
      <c r="T43">
        <v>147.6</v>
      </c>
      <c r="U43">
        <v>150.6</v>
      </c>
      <c r="V43">
        <v>139.30000000000001</v>
      </c>
      <c r="W43">
        <v>144.19999999999999</v>
      </c>
      <c r="X43">
        <v>147.9</v>
      </c>
      <c r="Y43">
        <v>125.6</v>
      </c>
      <c r="Z43">
        <v>140.5</v>
      </c>
      <c r="AA43">
        <v>154</v>
      </c>
      <c r="AB43">
        <v>135.69999999999999</v>
      </c>
      <c r="AC43">
        <v>139.5</v>
      </c>
      <c r="AD43">
        <v>144.19999999999999</v>
      </c>
    </row>
    <row r="44" spans="1:30" x14ac:dyDescent="0.3">
      <c r="A44" t="s">
        <v>34</v>
      </c>
      <c r="B44">
        <v>2019</v>
      </c>
      <c r="C44" t="s">
        <v>41</v>
      </c>
      <c r="D44">
        <v>140.1</v>
      </c>
      <c r="E44">
        <v>160.6</v>
      </c>
      <c r="F44">
        <v>138.5</v>
      </c>
      <c r="G44">
        <v>144.69999999999999</v>
      </c>
      <c r="H44">
        <v>122.9</v>
      </c>
      <c r="I44">
        <v>149.4</v>
      </c>
      <c r="J44">
        <v>167.4</v>
      </c>
      <c r="K44">
        <v>130.9</v>
      </c>
      <c r="L44">
        <v>112</v>
      </c>
      <c r="M44">
        <v>142.6</v>
      </c>
      <c r="N44">
        <v>134.9</v>
      </c>
      <c r="O44">
        <v>156.6</v>
      </c>
      <c r="P44">
        <v>145.9</v>
      </c>
      <c r="Q44">
        <v>165.8</v>
      </c>
      <c r="R44">
        <v>149.1</v>
      </c>
      <c r="S44">
        <v>140.6</v>
      </c>
      <c r="T44">
        <v>147.9</v>
      </c>
      <c r="U44">
        <v>151.6</v>
      </c>
      <c r="V44">
        <v>138.5</v>
      </c>
      <c r="W44">
        <v>144.5</v>
      </c>
      <c r="X44">
        <v>148.5</v>
      </c>
      <c r="Y44">
        <v>125.8</v>
      </c>
      <c r="Z44">
        <v>140.9</v>
      </c>
      <c r="AA44">
        <v>154.9</v>
      </c>
      <c r="AB44">
        <v>138.4</v>
      </c>
      <c r="AC44">
        <v>140.19999999999999</v>
      </c>
      <c r="AD44">
        <v>145</v>
      </c>
    </row>
    <row r="45" spans="1:30" x14ac:dyDescent="0.3">
      <c r="A45" t="s">
        <v>34</v>
      </c>
      <c r="B45">
        <v>2019</v>
      </c>
      <c r="C45" t="s">
        <v>42</v>
      </c>
      <c r="D45">
        <v>140.9</v>
      </c>
      <c r="E45">
        <v>160.80000000000001</v>
      </c>
      <c r="F45">
        <v>139.6</v>
      </c>
      <c r="G45">
        <v>145.4</v>
      </c>
      <c r="H45">
        <v>123.5</v>
      </c>
      <c r="I45">
        <v>146.6</v>
      </c>
      <c r="J45">
        <v>173.2</v>
      </c>
      <c r="K45">
        <v>131.6</v>
      </c>
      <c r="L45">
        <v>113.2</v>
      </c>
      <c r="M45">
        <v>144.1</v>
      </c>
      <c r="N45">
        <v>135</v>
      </c>
      <c r="O45">
        <v>156.80000000000001</v>
      </c>
      <c r="P45">
        <v>147</v>
      </c>
      <c r="Q45">
        <v>166.5</v>
      </c>
      <c r="R45">
        <v>149.19999999999999</v>
      </c>
      <c r="S45">
        <v>140.6</v>
      </c>
      <c r="T45">
        <v>147.9</v>
      </c>
      <c r="U45">
        <v>152.19999999999999</v>
      </c>
      <c r="V45">
        <v>139.19999999999999</v>
      </c>
      <c r="W45">
        <v>144.6</v>
      </c>
      <c r="X45">
        <v>149</v>
      </c>
      <c r="Y45">
        <v>126.1</v>
      </c>
      <c r="Z45">
        <v>141.30000000000001</v>
      </c>
      <c r="AA45">
        <v>155.19999999999999</v>
      </c>
      <c r="AB45">
        <v>139.69999999999999</v>
      </c>
      <c r="AC45">
        <v>140.69999999999999</v>
      </c>
      <c r="AD45">
        <v>145.80000000000001</v>
      </c>
    </row>
    <row r="46" spans="1:30" x14ac:dyDescent="0.3">
      <c r="A46" t="s">
        <v>34</v>
      </c>
      <c r="B46">
        <v>2019</v>
      </c>
      <c r="C46" t="s">
        <v>43</v>
      </c>
      <c r="D46">
        <v>141.80000000000001</v>
      </c>
      <c r="E46">
        <v>161</v>
      </c>
      <c r="F46">
        <v>142.6</v>
      </c>
      <c r="G46">
        <v>146.19999999999999</v>
      </c>
      <c r="H46">
        <v>123.9</v>
      </c>
      <c r="I46">
        <v>148</v>
      </c>
      <c r="J46">
        <v>188.4</v>
      </c>
      <c r="K46">
        <v>132.5</v>
      </c>
      <c r="L46">
        <v>114</v>
      </c>
      <c r="M46">
        <v>145.4</v>
      </c>
      <c r="N46">
        <v>135.1</v>
      </c>
      <c r="O46">
        <v>157.1</v>
      </c>
      <c r="P46">
        <v>149.6</v>
      </c>
      <c r="Q46">
        <v>167.1</v>
      </c>
      <c r="R46">
        <v>149.4</v>
      </c>
      <c r="S46">
        <v>140.80000000000001</v>
      </c>
      <c r="T46">
        <v>148.19999999999999</v>
      </c>
      <c r="U46">
        <v>153</v>
      </c>
      <c r="V46">
        <v>140.6</v>
      </c>
      <c r="W46">
        <v>145</v>
      </c>
      <c r="X46">
        <v>149.4</v>
      </c>
      <c r="Y46">
        <v>126.3</v>
      </c>
      <c r="Z46">
        <v>141.69999999999999</v>
      </c>
      <c r="AA46">
        <v>155.4</v>
      </c>
      <c r="AB46">
        <v>140</v>
      </c>
      <c r="AC46">
        <v>141</v>
      </c>
      <c r="AD46">
        <v>147.19999999999999</v>
      </c>
    </row>
    <row r="47" spans="1:30" x14ac:dyDescent="0.3">
      <c r="A47" t="s">
        <v>34</v>
      </c>
      <c r="B47">
        <v>2019</v>
      </c>
      <c r="C47" t="s">
        <v>45</v>
      </c>
      <c r="D47">
        <v>142.5</v>
      </c>
      <c r="E47">
        <v>163.19999999999999</v>
      </c>
      <c r="F47">
        <v>145.6</v>
      </c>
      <c r="G47">
        <v>146.69999999999999</v>
      </c>
      <c r="H47">
        <v>124.3</v>
      </c>
      <c r="I47">
        <v>147.4</v>
      </c>
      <c r="J47">
        <v>199.6</v>
      </c>
      <c r="K47">
        <v>135.69999999999999</v>
      </c>
      <c r="L47">
        <v>114.2</v>
      </c>
      <c r="M47">
        <v>147</v>
      </c>
      <c r="N47">
        <v>135.30000000000001</v>
      </c>
      <c r="O47">
        <v>157.5</v>
      </c>
      <c r="P47">
        <v>151.9</v>
      </c>
      <c r="Q47">
        <v>167.9</v>
      </c>
      <c r="R47">
        <v>149.9</v>
      </c>
      <c r="S47">
        <v>141</v>
      </c>
      <c r="T47">
        <v>148.6</v>
      </c>
      <c r="U47">
        <v>153.5</v>
      </c>
      <c r="V47">
        <v>142.30000000000001</v>
      </c>
      <c r="W47">
        <v>145.30000000000001</v>
      </c>
      <c r="X47">
        <v>149.9</v>
      </c>
      <c r="Y47">
        <v>126.6</v>
      </c>
      <c r="Z47">
        <v>142.1</v>
      </c>
      <c r="AA47">
        <v>155.5</v>
      </c>
      <c r="AB47">
        <v>140.30000000000001</v>
      </c>
      <c r="AC47">
        <v>141.30000000000001</v>
      </c>
      <c r="AD47">
        <v>148.6</v>
      </c>
    </row>
    <row r="48" spans="1:30" x14ac:dyDescent="0.3">
      <c r="A48" t="s">
        <v>34</v>
      </c>
      <c r="B48">
        <v>2019</v>
      </c>
      <c r="C48" t="s">
        <v>46</v>
      </c>
      <c r="D48">
        <v>143.5</v>
      </c>
      <c r="E48">
        <v>165</v>
      </c>
      <c r="F48">
        <v>151.1</v>
      </c>
      <c r="G48">
        <v>148.30000000000001</v>
      </c>
      <c r="H48">
        <v>125.7</v>
      </c>
      <c r="I48">
        <v>145.69999999999999</v>
      </c>
      <c r="J48">
        <v>217</v>
      </c>
      <c r="K48">
        <v>138.30000000000001</v>
      </c>
      <c r="L48">
        <v>114</v>
      </c>
      <c r="M48">
        <v>148.69999999999999</v>
      </c>
      <c r="N48">
        <v>135.80000000000001</v>
      </c>
      <c r="O48">
        <v>158</v>
      </c>
      <c r="P48">
        <v>155</v>
      </c>
      <c r="Q48">
        <v>168.5</v>
      </c>
      <c r="R48">
        <v>150.30000000000001</v>
      </c>
      <c r="S48">
        <v>141.30000000000001</v>
      </c>
      <c r="T48">
        <v>149</v>
      </c>
      <c r="U48">
        <v>152.80000000000001</v>
      </c>
      <c r="V48">
        <v>143.69999999999999</v>
      </c>
      <c r="W48">
        <v>145.80000000000001</v>
      </c>
      <c r="X48">
        <v>150.4</v>
      </c>
      <c r="Y48">
        <v>129.80000000000001</v>
      </c>
      <c r="Z48">
        <v>142.30000000000001</v>
      </c>
      <c r="AA48">
        <v>155.69999999999999</v>
      </c>
      <c r="AB48">
        <v>140.4</v>
      </c>
      <c r="AC48">
        <v>142.5</v>
      </c>
      <c r="AD48">
        <v>150.4</v>
      </c>
    </row>
    <row r="49" spans="1:30" x14ac:dyDescent="0.3">
      <c r="A49" t="s">
        <v>34</v>
      </c>
      <c r="B49">
        <v>2020</v>
      </c>
      <c r="C49" t="s">
        <v>31</v>
      </c>
      <c r="D49">
        <v>144.30000000000001</v>
      </c>
      <c r="E49">
        <v>167.4</v>
      </c>
      <c r="F49">
        <v>154.9</v>
      </c>
      <c r="G49">
        <v>150.1</v>
      </c>
      <c r="H49">
        <v>129.9</v>
      </c>
      <c r="I49">
        <v>143.19999999999999</v>
      </c>
      <c r="J49">
        <v>197</v>
      </c>
      <c r="K49">
        <v>140.4</v>
      </c>
      <c r="L49">
        <v>114.1</v>
      </c>
      <c r="M49">
        <v>150.9</v>
      </c>
      <c r="N49">
        <v>136.1</v>
      </c>
      <c r="O49">
        <v>158.6</v>
      </c>
      <c r="P49">
        <v>153.5</v>
      </c>
      <c r="Q49">
        <v>169.2</v>
      </c>
      <c r="R49">
        <v>150.5</v>
      </c>
      <c r="S49">
        <v>141.5</v>
      </c>
      <c r="T49">
        <v>149.19999999999999</v>
      </c>
      <c r="U49">
        <v>153.9</v>
      </c>
      <c r="V49">
        <v>144.6</v>
      </c>
      <c r="W49">
        <v>146.19999999999999</v>
      </c>
      <c r="X49">
        <v>151.19999999999999</v>
      </c>
      <c r="Y49">
        <v>130.9</v>
      </c>
      <c r="Z49">
        <v>142.80000000000001</v>
      </c>
      <c r="AA49">
        <v>156.1</v>
      </c>
      <c r="AB49">
        <v>142.30000000000001</v>
      </c>
      <c r="AC49">
        <v>143.4</v>
      </c>
      <c r="AD49">
        <v>150.19999999999999</v>
      </c>
    </row>
    <row r="50" spans="1:30" x14ac:dyDescent="0.3">
      <c r="A50" t="s">
        <v>34</v>
      </c>
      <c r="B50">
        <v>2020</v>
      </c>
      <c r="C50" t="s">
        <v>35</v>
      </c>
      <c r="D50">
        <v>144.80000000000001</v>
      </c>
      <c r="E50">
        <v>167.5</v>
      </c>
      <c r="F50">
        <v>151.80000000000001</v>
      </c>
      <c r="G50">
        <v>150.80000000000001</v>
      </c>
      <c r="H50">
        <v>131.4</v>
      </c>
      <c r="I50">
        <v>141.80000000000001</v>
      </c>
      <c r="J50">
        <v>170.7</v>
      </c>
      <c r="K50">
        <v>141.1</v>
      </c>
      <c r="L50">
        <v>113.6</v>
      </c>
      <c r="M50">
        <v>152</v>
      </c>
      <c r="N50">
        <v>136.5</v>
      </c>
      <c r="O50">
        <v>159.1</v>
      </c>
      <c r="P50">
        <v>150.5</v>
      </c>
      <c r="Q50">
        <v>170.1</v>
      </c>
      <c r="R50">
        <v>150.80000000000001</v>
      </c>
      <c r="S50">
        <v>141.69999999999999</v>
      </c>
      <c r="T50">
        <v>149.5</v>
      </c>
      <c r="U50">
        <v>154.80000000000001</v>
      </c>
      <c r="V50">
        <v>147.19999999999999</v>
      </c>
      <c r="W50">
        <v>146.4</v>
      </c>
      <c r="X50">
        <v>151.69999999999999</v>
      </c>
      <c r="Y50">
        <v>130.30000000000001</v>
      </c>
      <c r="Z50">
        <v>143.19999999999999</v>
      </c>
      <c r="AA50">
        <v>156.19999999999999</v>
      </c>
      <c r="AB50">
        <v>143.4</v>
      </c>
      <c r="AC50">
        <v>143.6</v>
      </c>
      <c r="AD50">
        <v>149.1</v>
      </c>
    </row>
    <row r="51" spans="1:30" x14ac:dyDescent="0.3">
      <c r="A51" t="s">
        <v>34</v>
      </c>
      <c r="B51">
        <v>2020</v>
      </c>
      <c r="C51" t="s">
        <v>36</v>
      </c>
      <c r="D51">
        <v>145.1</v>
      </c>
      <c r="E51">
        <v>167</v>
      </c>
      <c r="F51">
        <v>148.1</v>
      </c>
      <c r="G51">
        <v>151.5</v>
      </c>
      <c r="H51">
        <v>131.19999999999999</v>
      </c>
      <c r="I51">
        <v>142.5</v>
      </c>
      <c r="J51">
        <v>157.30000000000001</v>
      </c>
      <c r="K51">
        <v>141.1</v>
      </c>
      <c r="L51">
        <v>113.2</v>
      </c>
      <c r="M51">
        <v>153.19999999999999</v>
      </c>
      <c r="N51">
        <v>136.69999999999999</v>
      </c>
      <c r="O51">
        <v>159.6</v>
      </c>
      <c r="P51">
        <v>148.9</v>
      </c>
      <c r="Q51">
        <v>171.2</v>
      </c>
      <c r="R51">
        <v>151.19999999999999</v>
      </c>
      <c r="S51">
        <v>141.9</v>
      </c>
      <c r="T51">
        <v>149.80000000000001</v>
      </c>
      <c r="U51">
        <v>154.5</v>
      </c>
      <c r="V51">
        <v>148.9</v>
      </c>
      <c r="W51">
        <v>146.4</v>
      </c>
      <c r="X51">
        <v>152.30000000000001</v>
      </c>
      <c r="Y51">
        <v>129.9</v>
      </c>
      <c r="Z51">
        <v>143.69999999999999</v>
      </c>
      <c r="AA51">
        <v>156.1</v>
      </c>
      <c r="AB51">
        <v>145.19999999999999</v>
      </c>
      <c r="AC51">
        <v>143.80000000000001</v>
      </c>
      <c r="AD51">
        <v>148.6</v>
      </c>
    </row>
    <row r="52" spans="1:30" x14ac:dyDescent="0.3">
      <c r="A52" t="s">
        <v>34</v>
      </c>
      <c r="B52">
        <v>2020</v>
      </c>
      <c r="C52" t="s">
        <v>37</v>
      </c>
      <c r="D52">
        <v>148.69999999999999</v>
      </c>
      <c r="E52">
        <v>167.2</v>
      </c>
      <c r="F52">
        <v>148.80000000000001</v>
      </c>
      <c r="G52">
        <v>155.6</v>
      </c>
      <c r="H52">
        <v>135.1</v>
      </c>
      <c r="I52">
        <v>149.9</v>
      </c>
      <c r="J52">
        <v>168.6</v>
      </c>
      <c r="K52">
        <v>150.4</v>
      </c>
      <c r="L52">
        <v>120.3</v>
      </c>
      <c r="M52">
        <v>157.1</v>
      </c>
      <c r="N52">
        <v>136.80000000000001</v>
      </c>
      <c r="O52" t="s">
        <v>32</v>
      </c>
      <c r="P52">
        <v>151.4</v>
      </c>
      <c r="Q52" t="s">
        <v>32</v>
      </c>
      <c r="R52" t="s">
        <v>32</v>
      </c>
      <c r="S52" t="s">
        <v>32</v>
      </c>
      <c r="T52" t="s">
        <v>32</v>
      </c>
      <c r="U52">
        <v>155.6</v>
      </c>
      <c r="V52">
        <v>144.1</v>
      </c>
      <c r="W52" t="s">
        <v>32</v>
      </c>
      <c r="X52">
        <v>150.69999999999999</v>
      </c>
      <c r="Y52" t="s">
        <v>32</v>
      </c>
      <c r="Z52" t="s">
        <v>32</v>
      </c>
      <c r="AA52" t="s">
        <v>32</v>
      </c>
      <c r="AB52" t="s">
        <v>32</v>
      </c>
      <c r="AC52" t="s">
        <v>32</v>
      </c>
      <c r="AD52">
        <v>149.30000000000001</v>
      </c>
    </row>
    <row r="53" spans="1:30" x14ac:dyDescent="0.3">
      <c r="A53" t="s">
        <v>34</v>
      </c>
      <c r="B53">
        <v>2020</v>
      </c>
      <c r="C53" t="s">
        <v>38</v>
      </c>
      <c r="D53">
        <f t="shared" ref="D53" si="0">AVERAGE(D52,D54)</f>
        <v>149.14999999999998</v>
      </c>
      <c r="E53">
        <f t="shared" ref="E53" si="1">AVERAGE(E52,E54)</f>
        <v>179.95</v>
      </c>
      <c r="F53">
        <f t="shared" ref="F53" si="2">AVERAGE(F52,F54)</f>
        <v>150.10000000000002</v>
      </c>
      <c r="G53">
        <f t="shared" ref="G53" si="3">AVERAGE(G52,G54)</f>
        <v>154.44999999999999</v>
      </c>
      <c r="H53">
        <f t="shared" ref="H53" si="4">AVERAGE(H52,H54)</f>
        <v>135.69999999999999</v>
      </c>
      <c r="I53">
        <f t="shared" ref="I53" si="5">AVERAGE(I52,I54)</f>
        <v>148.55000000000001</v>
      </c>
      <c r="J53">
        <f t="shared" ref="J53" si="6">AVERAGE(J52,J54)</f>
        <v>162.55000000000001</v>
      </c>
      <c r="K53">
        <f t="shared" ref="K53" si="7">AVERAGE(K52,K54)</f>
        <v>150.65</v>
      </c>
      <c r="L53">
        <f t="shared" ref="L53" si="8">AVERAGE(L52,L54)</f>
        <v>117.25</v>
      </c>
      <c r="M53">
        <f t="shared" ref="M53" si="9">AVERAGE(M52,M54)</f>
        <v>158.30000000000001</v>
      </c>
      <c r="N53">
        <f t="shared" ref="N53" si="10">AVERAGE(N52,N54)</f>
        <v>138.10000000000002</v>
      </c>
      <c r="O53">
        <f t="shared" ref="O53" si="11">AVERAGE(O52,O54)</f>
        <v>161.80000000000001</v>
      </c>
      <c r="P53">
        <f t="shared" ref="P53" si="12">AVERAGE(P52,P54)</f>
        <v>152.69999999999999</v>
      </c>
      <c r="Q53">
        <f t="shared" ref="Q53" si="13">AVERAGE(Q52,Q54)</f>
        <v>183.5</v>
      </c>
      <c r="R53">
        <f t="shared" ref="R53" si="14">AVERAGE(R52,R54)</f>
        <v>152.5</v>
      </c>
      <c r="S53">
        <f t="shared" ref="S53" si="15">AVERAGE(S52,S54)</f>
        <v>144.4</v>
      </c>
      <c r="T53">
        <f t="shared" ref="T53" si="16">AVERAGE(T52,T54)</f>
        <v>151.4</v>
      </c>
      <c r="U53">
        <f t="shared" ref="U53" si="17">AVERAGE(U52,U54)</f>
        <v>155.14999999999998</v>
      </c>
      <c r="V53">
        <f t="shared" ref="V53" si="18">AVERAGE(V52,V54)</f>
        <v>143</v>
      </c>
      <c r="W53">
        <f t="shared" ref="W53" si="19">AVERAGE(W52,W54)</f>
        <v>146.4</v>
      </c>
      <c r="X53">
        <f t="shared" ref="X53" si="20">AVERAGE(X52,X54)</f>
        <v>152.55000000000001</v>
      </c>
      <c r="Y53">
        <f t="shared" ref="Y53" si="21">AVERAGE(Y52,Y54)</f>
        <v>135</v>
      </c>
      <c r="Z53">
        <f t="shared" ref="Z53" si="22">AVERAGE(Z52,Z54)</f>
        <v>148.30000000000001</v>
      </c>
      <c r="AA53">
        <f t="shared" ref="AA53" si="23">AVERAGE(AA52,AA54)</f>
        <v>156.4</v>
      </c>
      <c r="AB53">
        <f t="shared" ref="AB53" si="24">AVERAGE(AB52,AB54)</f>
        <v>151.6</v>
      </c>
      <c r="AC53">
        <f t="shared" ref="AC53" si="25">AVERAGE(AC52,AC54)</f>
        <v>147</v>
      </c>
      <c r="AD53">
        <f>AVERAGE(AD52,AD54)</f>
        <v>150.55000000000001</v>
      </c>
    </row>
    <row r="54" spans="1:30" x14ac:dyDescent="0.3">
      <c r="A54" t="s">
        <v>34</v>
      </c>
      <c r="B54">
        <v>2020</v>
      </c>
      <c r="C54" t="s">
        <v>39</v>
      </c>
      <c r="D54">
        <v>149.6</v>
      </c>
      <c r="E54">
        <v>192.7</v>
      </c>
      <c r="F54">
        <v>151.4</v>
      </c>
      <c r="G54">
        <v>153.30000000000001</v>
      </c>
      <c r="H54">
        <v>136.30000000000001</v>
      </c>
      <c r="I54">
        <v>147.19999999999999</v>
      </c>
      <c r="J54">
        <v>156.5</v>
      </c>
      <c r="K54">
        <v>150.9</v>
      </c>
      <c r="L54">
        <v>114.2</v>
      </c>
      <c r="M54">
        <v>159.5</v>
      </c>
      <c r="N54">
        <v>139.4</v>
      </c>
      <c r="O54">
        <v>161.80000000000001</v>
      </c>
      <c r="P54">
        <v>154</v>
      </c>
      <c r="Q54">
        <v>183.5</v>
      </c>
      <c r="R54">
        <v>152.5</v>
      </c>
      <c r="S54">
        <v>144.4</v>
      </c>
      <c r="T54">
        <v>151.4</v>
      </c>
      <c r="U54">
        <v>154.69999999999999</v>
      </c>
      <c r="V54">
        <v>141.9</v>
      </c>
      <c r="W54">
        <v>146.4</v>
      </c>
      <c r="X54">
        <v>154.4</v>
      </c>
      <c r="Y54">
        <v>135</v>
      </c>
      <c r="Z54">
        <v>148.30000000000001</v>
      </c>
      <c r="AA54">
        <v>156.4</v>
      </c>
      <c r="AB54">
        <v>151.6</v>
      </c>
      <c r="AC54">
        <v>147</v>
      </c>
      <c r="AD54">
        <v>151.80000000000001</v>
      </c>
    </row>
    <row r="55" spans="1:30" x14ac:dyDescent="0.3">
      <c r="A55" t="s">
        <v>34</v>
      </c>
      <c r="B55">
        <v>2020</v>
      </c>
      <c r="C55" t="s">
        <v>40</v>
      </c>
      <c r="D55">
        <v>149.6</v>
      </c>
      <c r="E55">
        <v>192.7</v>
      </c>
      <c r="F55">
        <v>151.4</v>
      </c>
      <c r="G55">
        <v>153.30000000000001</v>
      </c>
      <c r="H55">
        <v>136.30000000000001</v>
      </c>
      <c r="I55">
        <v>147.19999999999999</v>
      </c>
      <c r="J55">
        <v>156.5</v>
      </c>
      <c r="K55">
        <v>150.9</v>
      </c>
      <c r="L55">
        <v>114.2</v>
      </c>
      <c r="M55">
        <v>159.5</v>
      </c>
      <c r="N55">
        <v>139.4</v>
      </c>
      <c r="O55">
        <v>161.80000000000001</v>
      </c>
      <c r="P55">
        <v>154</v>
      </c>
      <c r="Q55">
        <v>183.5</v>
      </c>
      <c r="R55">
        <v>152.5</v>
      </c>
      <c r="S55">
        <v>144.4</v>
      </c>
      <c r="T55">
        <v>151.4</v>
      </c>
      <c r="U55">
        <v>154.69999999999999</v>
      </c>
      <c r="V55">
        <v>141.9</v>
      </c>
      <c r="W55">
        <v>146.4</v>
      </c>
      <c r="X55">
        <v>154.4</v>
      </c>
      <c r="Y55">
        <v>135</v>
      </c>
      <c r="Z55">
        <v>148.30000000000001</v>
      </c>
      <c r="AA55">
        <v>156.4</v>
      </c>
      <c r="AB55">
        <v>151.6</v>
      </c>
      <c r="AC55">
        <v>147</v>
      </c>
      <c r="AD55">
        <v>151.80000000000001</v>
      </c>
    </row>
    <row r="56" spans="1:30" x14ac:dyDescent="0.3">
      <c r="A56" t="s">
        <v>34</v>
      </c>
      <c r="B56">
        <v>2020</v>
      </c>
      <c r="C56" t="s">
        <v>41</v>
      </c>
      <c r="D56">
        <v>148.9</v>
      </c>
      <c r="E56">
        <v>190.9</v>
      </c>
      <c r="F56">
        <v>150.80000000000001</v>
      </c>
      <c r="G56">
        <v>153.30000000000001</v>
      </c>
      <c r="H56">
        <v>137.4</v>
      </c>
      <c r="I56">
        <v>150.4</v>
      </c>
      <c r="J56">
        <v>178.1</v>
      </c>
      <c r="K56">
        <v>150.4</v>
      </c>
      <c r="L56">
        <v>115.1</v>
      </c>
      <c r="M56">
        <v>160</v>
      </c>
      <c r="N56">
        <v>140.6</v>
      </c>
      <c r="O56">
        <v>162.30000000000001</v>
      </c>
      <c r="P56">
        <v>157</v>
      </c>
      <c r="Q56">
        <v>182.6</v>
      </c>
      <c r="R56">
        <v>153.1</v>
      </c>
      <c r="S56">
        <v>143.4</v>
      </c>
      <c r="T56">
        <v>151.69999999999999</v>
      </c>
      <c r="U56">
        <v>155.5</v>
      </c>
      <c r="V56">
        <v>143</v>
      </c>
      <c r="W56">
        <v>148.4</v>
      </c>
      <c r="X56">
        <v>155</v>
      </c>
      <c r="Y56">
        <v>138.5</v>
      </c>
      <c r="Z56">
        <v>146</v>
      </c>
      <c r="AA56">
        <v>158.5</v>
      </c>
      <c r="AB56">
        <v>154.30000000000001</v>
      </c>
      <c r="AC56">
        <v>149</v>
      </c>
      <c r="AD56">
        <v>153.9</v>
      </c>
    </row>
    <row r="57" spans="1:30" x14ac:dyDescent="0.3">
      <c r="A57" t="s">
        <v>34</v>
      </c>
      <c r="B57">
        <v>2020</v>
      </c>
      <c r="C57" t="s">
        <v>42</v>
      </c>
      <c r="D57">
        <v>148.4</v>
      </c>
      <c r="E57">
        <v>187.1</v>
      </c>
      <c r="F57">
        <v>152.5</v>
      </c>
      <c r="G57">
        <v>153.6</v>
      </c>
      <c r="H57">
        <v>138.19999999999999</v>
      </c>
      <c r="I57">
        <v>150.9</v>
      </c>
      <c r="J57">
        <v>186.7</v>
      </c>
      <c r="K57">
        <v>149.80000000000001</v>
      </c>
      <c r="L57">
        <v>116.4</v>
      </c>
      <c r="M57">
        <v>160.30000000000001</v>
      </c>
      <c r="N57">
        <v>142.19999999999999</v>
      </c>
      <c r="O57">
        <v>162.9</v>
      </c>
      <c r="P57">
        <v>158</v>
      </c>
      <c r="Q57">
        <v>184.4</v>
      </c>
      <c r="R57">
        <v>153.4</v>
      </c>
      <c r="S57">
        <v>144.30000000000001</v>
      </c>
      <c r="T57">
        <v>152</v>
      </c>
      <c r="U57">
        <v>156.30000000000001</v>
      </c>
      <c r="V57">
        <v>142.9</v>
      </c>
      <c r="W57">
        <v>148.69999999999999</v>
      </c>
      <c r="X57">
        <v>155.6</v>
      </c>
      <c r="Y57">
        <v>139.6</v>
      </c>
      <c r="Z57">
        <v>146.6</v>
      </c>
      <c r="AA57">
        <v>157.5</v>
      </c>
      <c r="AB57">
        <v>158.4</v>
      </c>
      <c r="AC57">
        <v>150</v>
      </c>
      <c r="AD57">
        <v>154.69999999999999</v>
      </c>
    </row>
    <row r="58" spans="1:30" x14ac:dyDescent="0.3">
      <c r="A58" t="s">
        <v>34</v>
      </c>
      <c r="B58">
        <v>2020</v>
      </c>
      <c r="C58" t="s">
        <v>43</v>
      </c>
      <c r="D58">
        <v>147.5</v>
      </c>
      <c r="E58">
        <v>188.9</v>
      </c>
      <c r="F58">
        <v>161.4</v>
      </c>
      <c r="G58">
        <v>153.6</v>
      </c>
      <c r="H58">
        <v>140.1</v>
      </c>
      <c r="I58">
        <v>151.19999999999999</v>
      </c>
      <c r="J58">
        <v>209.2</v>
      </c>
      <c r="K58">
        <v>150.9</v>
      </c>
      <c r="L58">
        <v>116.2</v>
      </c>
      <c r="M58">
        <v>161</v>
      </c>
      <c r="N58">
        <v>144</v>
      </c>
      <c r="O58">
        <v>163.19999999999999</v>
      </c>
      <c r="P58">
        <v>161.4</v>
      </c>
      <c r="Q58">
        <v>184.3</v>
      </c>
      <c r="R58">
        <v>153.69999999999999</v>
      </c>
      <c r="S58">
        <v>144.6</v>
      </c>
      <c r="T58">
        <v>152.30000000000001</v>
      </c>
      <c r="U58">
        <v>156.5</v>
      </c>
      <c r="V58">
        <v>143.1</v>
      </c>
      <c r="W58">
        <v>148.69999999999999</v>
      </c>
      <c r="X58">
        <v>156.30000000000001</v>
      </c>
      <c r="Y58">
        <v>140.6</v>
      </c>
      <c r="Z58">
        <v>146.5</v>
      </c>
      <c r="AA58">
        <v>158.5</v>
      </c>
      <c r="AB58">
        <v>157</v>
      </c>
      <c r="AC58">
        <v>150.4</v>
      </c>
      <c r="AD58">
        <v>156.4</v>
      </c>
    </row>
    <row r="59" spans="1:30" x14ac:dyDescent="0.3">
      <c r="A59" t="s">
        <v>34</v>
      </c>
      <c r="B59">
        <v>2020</v>
      </c>
      <c r="C59" t="s">
        <v>45</v>
      </c>
      <c r="D59">
        <v>146.80000000000001</v>
      </c>
      <c r="E59">
        <v>191</v>
      </c>
      <c r="F59">
        <v>173.6</v>
      </c>
      <c r="G59">
        <v>153.80000000000001</v>
      </c>
      <c r="H59">
        <v>142.69999999999999</v>
      </c>
      <c r="I59">
        <v>148.4</v>
      </c>
      <c r="J59">
        <v>230</v>
      </c>
      <c r="K59">
        <v>156.80000000000001</v>
      </c>
      <c r="L59">
        <v>115.7</v>
      </c>
      <c r="M59">
        <v>161.80000000000001</v>
      </c>
      <c r="N59">
        <v>146.5</v>
      </c>
      <c r="O59">
        <v>163.80000000000001</v>
      </c>
      <c r="P59">
        <v>164.7</v>
      </c>
      <c r="Q59">
        <v>184.8</v>
      </c>
      <c r="R59">
        <v>154.30000000000001</v>
      </c>
      <c r="S59">
        <v>144.9</v>
      </c>
      <c r="T59">
        <v>152.80000000000001</v>
      </c>
      <c r="U59">
        <v>158</v>
      </c>
      <c r="V59">
        <v>143.6</v>
      </c>
      <c r="W59">
        <v>149.19999999999999</v>
      </c>
      <c r="X59">
        <v>157.19999999999999</v>
      </c>
      <c r="Y59">
        <v>140.4</v>
      </c>
      <c r="Z59">
        <v>148.4</v>
      </c>
      <c r="AA59">
        <v>158.6</v>
      </c>
      <c r="AB59">
        <v>156.9</v>
      </c>
      <c r="AC59">
        <v>150.69999999999999</v>
      </c>
      <c r="AD59">
        <v>158.4</v>
      </c>
    </row>
    <row r="60" spans="1:30" x14ac:dyDescent="0.3">
      <c r="A60" t="s">
        <v>34</v>
      </c>
      <c r="B60">
        <v>2020</v>
      </c>
      <c r="C60" t="s">
        <v>46</v>
      </c>
      <c r="D60">
        <v>146</v>
      </c>
      <c r="E60">
        <v>191</v>
      </c>
      <c r="F60">
        <v>175.3</v>
      </c>
      <c r="G60">
        <v>154.1</v>
      </c>
      <c r="H60">
        <v>146.6</v>
      </c>
      <c r="I60">
        <v>147.69999999999999</v>
      </c>
      <c r="J60">
        <v>230.5</v>
      </c>
      <c r="K60">
        <v>160.19999999999999</v>
      </c>
      <c r="L60">
        <v>115.3</v>
      </c>
      <c r="M60">
        <v>163</v>
      </c>
      <c r="N60">
        <v>149.19999999999999</v>
      </c>
      <c r="O60">
        <v>164.8</v>
      </c>
      <c r="P60">
        <v>165.4</v>
      </c>
      <c r="Q60">
        <v>185.4</v>
      </c>
      <c r="R60">
        <v>155</v>
      </c>
      <c r="S60">
        <v>145.4</v>
      </c>
      <c r="T60">
        <v>153.6</v>
      </c>
      <c r="U60">
        <v>158.4</v>
      </c>
      <c r="V60">
        <v>144.6</v>
      </c>
      <c r="W60">
        <v>149.69999999999999</v>
      </c>
      <c r="X60">
        <v>158.30000000000001</v>
      </c>
      <c r="Y60">
        <v>140.69999999999999</v>
      </c>
      <c r="Z60">
        <v>148.5</v>
      </c>
      <c r="AA60">
        <v>159.4</v>
      </c>
      <c r="AB60">
        <v>157.1</v>
      </c>
      <c r="AC60">
        <v>151.19999999999999</v>
      </c>
      <c r="AD60">
        <v>158.9</v>
      </c>
    </row>
    <row r="61" spans="1:30" x14ac:dyDescent="0.3">
      <c r="A61" t="s">
        <v>34</v>
      </c>
      <c r="B61">
        <v>2021</v>
      </c>
      <c r="C61" t="s">
        <v>31</v>
      </c>
      <c r="D61">
        <v>144.9</v>
      </c>
      <c r="E61">
        <v>190.1</v>
      </c>
      <c r="F61">
        <v>175.3</v>
      </c>
      <c r="G61">
        <v>154.1</v>
      </c>
      <c r="H61">
        <v>150.9</v>
      </c>
      <c r="I61">
        <v>149.6</v>
      </c>
      <c r="J61">
        <v>194.2</v>
      </c>
      <c r="K61">
        <v>160.4</v>
      </c>
      <c r="L61">
        <v>114.6</v>
      </c>
      <c r="M61">
        <v>164</v>
      </c>
      <c r="N61">
        <v>151.80000000000001</v>
      </c>
      <c r="O61">
        <v>165.6</v>
      </c>
      <c r="P61">
        <v>161</v>
      </c>
      <c r="Q61">
        <v>186.5</v>
      </c>
      <c r="R61">
        <v>155.5</v>
      </c>
      <c r="S61">
        <v>146.1</v>
      </c>
      <c r="T61">
        <v>154.19999999999999</v>
      </c>
      <c r="U61">
        <v>157.69999999999999</v>
      </c>
      <c r="V61">
        <v>147.9</v>
      </c>
      <c r="W61">
        <v>150</v>
      </c>
      <c r="X61">
        <v>159.30000000000001</v>
      </c>
      <c r="Y61">
        <v>141.9</v>
      </c>
      <c r="Z61">
        <v>149.6</v>
      </c>
      <c r="AA61">
        <v>159.19999999999999</v>
      </c>
      <c r="AB61">
        <v>156.80000000000001</v>
      </c>
      <c r="AC61">
        <v>151.9</v>
      </c>
      <c r="AD61">
        <v>157.30000000000001</v>
      </c>
    </row>
    <row r="62" spans="1:30" x14ac:dyDescent="0.3">
      <c r="A62" t="s">
        <v>34</v>
      </c>
      <c r="B62">
        <v>2021</v>
      </c>
      <c r="C62" t="s">
        <v>35</v>
      </c>
      <c r="D62">
        <v>144.30000000000001</v>
      </c>
      <c r="E62">
        <v>186.5</v>
      </c>
      <c r="F62">
        <v>168.7</v>
      </c>
      <c r="G62">
        <v>154.69999999999999</v>
      </c>
      <c r="H62">
        <v>158.69999999999999</v>
      </c>
      <c r="I62">
        <v>150.69999999999999</v>
      </c>
      <c r="J62">
        <v>160</v>
      </c>
      <c r="K62">
        <v>158.80000000000001</v>
      </c>
      <c r="L62">
        <v>112.8</v>
      </c>
      <c r="M62">
        <v>164.2</v>
      </c>
      <c r="N62">
        <v>155.5</v>
      </c>
      <c r="O62">
        <v>167.5</v>
      </c>
      <c r="P62">
        <v>156.9</v>
      </c>
      <c r="Q62">
        <v>188.3</v>
      </c>
      <c r="R62">
        <v>157.19999999999999</v>
      </c>
      <c r="S62">
        <v>147.4</v>
      </c>
      <c r="T62">
        <v>155.80000000000001</v>
      </c>
      <c r="U62">
        <v>159.80000000000001</v>
      </c>
      <c r="V62">
        <v>152.4</v>
      </c>
      <c r="W62">
        <v>150.9</v>
      </c>
      <c r="X62">
        <v>161.30000000000001</v>
      </c>
      <c r="Y62">
        <v>145.1</v>
      </c>
      <c r="Z62">
        <v>151.5</v>
      </c>
      <c r="AA62">
        <v>159.5</v>
      </c>
      <c r="AB62">
        <v>155.80000000000001</v>
      </c>
      <c r="AC62">
        <v>153.4</v>
      </c>
      <c r="AD62">
        <v>156.6</v>
      </c>
    </row>
    <row r="63" spans="1:30" x14ac:dyDescent="0.3">
      <c r="A63" t="s">
        <v>34</v>
      </c>
      <c r="B63">
        <v>2021</v>
      </c>
      <c r="C63" t="s">
        <v>36</v>
      </c>
      <c r="D63">
        <v>144.1</v>
      </c>
      <c r="E63">
        <v>192.2</v>
      </c>
      <c r="F63">
        <v>163.80000000000001</v>
      </c>
      <c r="G63">
        <v>154.9</v>
      </c>
      <c r="H63">
        <v>163.9</v>
      </c>
      <c r="I63">
        <v>153.69999999999999</v>
      </c>
      <c r="J63">
        <v>149.5</v>
      </c>
      <c r="K63">
        <v>159.80000000000001</v>
      </c>
      <c r="L63">
        <v>112.6</v>
      </c>
      <c r="M63">
        <v>163.5</v>
      </c>
      <c r="N63">
        <v>156.5</v>
      </c>
      <c r="O63">
        <v>168.2</v>
      </c>
      <c r="P63">
        <v>156.69999999999999</v>
      </c>
      <c r="Q63">
        <v>188.1</v>
      </c>
      <c r="R63">
        <v>157.80000000000001</v>
      </c>
      <c r="S63">
        <v>147.9</v>
      </c>
      <c r="T63">
        <v>156.4</v>
      </c>
      <c r="U63">
        <v>159.9</v>
      </c>
      <c r="V63">
        <v>155.5</v>
      </c>
      <c r="W63">
        <v>151.19999999999999</v>
      </c>
      <c r="X63">
        <v>161.69999999999999</v>
      </c>
      <c r="Y63">
        <v>146.19999999999999</v>
      </c>
      <c r="Z63">
        <v>152.6</v>
      </c>
      <c r="AA63">
        <v>160.19999999999999</v>
      </c>
      <c r="AB63">
        <v>153.80000000000001</v>
      </c>
      <c r="AC63">
        <v>153.80000000000001</v>
      </c>
      <c r="AD63">
        <v>156.80000000000001</v>
      </c>
    </row>
    <row r="64" spans="1:30" x14ac:dyDescent="0.3">
      <c r="A64" t="s">
        <v>34</v>
      </c>
      <c r="B64">
        <v>2021</v>
      </c>
      <c r="C64" t="s">
        <v>37</v>
      </c>
      <c r="D64">
        <v>144.30000000000001</v>
      </c>
      <c r="E64">
        <v>198</v>
      </c>
      <c r="F64">
        <v>164.6</v>
      </c>
      <c r="G64">
        <v>155.4</v>
      </c>
      <c r="H64">
        <v>170.1</v>
      </c>
      <c r="I64">
        <v>164.4</v>
      </c>
      <c r="J64">
        <v>144.1</v>
      </c>
      <c r="K64">
        <v>161.69999999999999</v>
      </c>
      <c r="L64">
        <v>113.1</v>
      </c>
      <c r="M64">
        <v>163.9</v>
      </c>
      <c r="N64">
        <v>157.6</v>
      </c>
      <c r="O64">
        <v>168.9</v>
      </c>
      <c r="P64">
        <v>158</v>
      </c>
      <c r="Q64">
        <v>188.8</v>
      </c>
      <c r="R64">
        <v>158.80000000000001</v>
      </c>
      <c r="S64">
        <v>148.5</v>
      </c>
      <c r="T64">
        <v>157.30000000000001</v>
      </c>
      <c r="U64">
        <v>161.4</v>
      </c>
      <c r="V64">
        <v>155.6</v>
      </c>
      <c r="W64">
        <v>151.80000000000001</v>
      </c>
      <c r="X64">
        <v>162.30000000000001</v>
      </c>
      <c r="Y64">
        <v>146.6</v>
      </c>
      <c r="Z64">
        <v>153.19999999999999</v>
      </c>
      <c r="AA64">
        <v>160.30000000000001</v>
      </c>
      <c r="AB64">
        <v>155.4</v>
      </c>
      <c r="AC64">
        <v>154.4</v>
      </c>
      <c r="AD64">
        <v>157.80000000000001</v>
      </c>
    </row>
    <row r="65" spans="1:30" x14ac:dyDescent="0.3">
      <c r="A65" t="s">
        <v>34</v>
      </c>
      <c r="B65">
        <v>2021</v>
      </c>
      <c r="C65" t="s">
        <v>38</v>
      </c>
      <c r="D65">
        <v>146.30000000000001</v>
      </c>
      <c r="E65">
        <v>200.5</v>
      </c>
      <c r="F65">
        <v>170.3</v>
      </c>
      <c r="G65">
        <v>156.1</v>
      </c>
      <c r="H65">
        <v>178.7</v>
      </c>
      <c r="I65">
        <v>167.1</v>
      </c>
      <c r="J65">
        <v>147.9</v>
      </c>
      <c r="K65">
        <v>165.4</v>
      </c>
      <c r="L65">
        <v>114.8</v>
      </c>
      <c r="M65">
        <v>168.2</v>
      </c>
      <c r="N65">
        <v>159.30000000000001</v>
      </c>
      <c r="O65">
        <v>170.4</v>
      </c>
      <c r="P65">
        <v>160.69999999999999</v>
      </c>
      <c r="Q65">
        <v>191.9</v>
      </c>
      <c r="R65">
        <v>161.80000000000001</v>
      </c>
      <c r="S65">
        <v>152.1</v>
      </c>
      <c r="T65">
        <v>160.4</v>
      </c>
      <c r="U65">
        <v>161.6</v>
      </c>
      <c r="V65">
        <v>159.4</v>
      </c>
      <c r="W65">
        <v>154.69999999999999</v>
      </c>
      <c r="X65">
        <v>165.8</v>
      </c>
      <c r="Y65">
        <v>148.9</v>
      </c>
      <c r="Z65">
        <v>155.80000000000001</v>
      </c>
      <c r="AA65">
        <v>161.19999999999999</v>
      </c>
      <c r="AB65">
        <v>158.6</v>
      </c>
      <c r="AC65">
        <v>156.80000000000001</v>
      </c>
      <c r="AD65">
        <v>160.4</v>
      </c>
    </row>
    <row r="66" spans="1:30" x14ac:dyDescent="0.3">
      <c r="A66" t="s">
        <v>34</v>
      </c>
      <c r="B66">
        <v>2021</v>
      </c>
      <c r="C66" t="s">
        <v>39</v>
      </c>
      <c r="D66">
        <v>146.69999999999999</v>
      </c>
      <c r="E66">
        <v>202</v>
      </c>
      <c r="F66">
        <v>180.7</v>
      </c>
      <c r="G66">
        <v>156.19999999999999</v>
      </c>
      <c r="H66">
        <v>183.7</v>
      </c>
      <c r="I66">
        <v>164.6</v>
      </c>
      <c r="J66">
        <v>155.4</v>
      </c>
      <c r="K66">
        <v>166</v>
      </c>
      <c r="L66">
        <v>115.1</v>
      </c>
      <c r="M66">
        <v>168.5</v>
      </c>
      <c r="N66">
        <v>160</v>
      </c>
      <c r="O66">
        <v>172.4</v>
      </c>
      <c r="P66">
        <v>162.6</v>
      </c>
      <c r="Q66">
        <v>190.8</v>
      </c>
      <c r="R66">
        <v>162.19999999999999</v>
      </c>
      <c r="S66">
        <v>151.80000000000001</v>
      </c>
      <c r="T66">
        <v>160.69999999999999</v>
      </c>
      <c r="U66">
        <v>160.5</v>
      </c>
      <c r="V66">
        <v>159.80000000000001</v>
      </c>
      <c r="W66">
        <v>154.80000000000001</v>
      </c>
      <c r="X66">
        <v>166.3</v>
      </c>
      <c r="Y66">
        <v>150.69999999999999</v>
      </c>
      <c r="Z66">
        <v>154.9</v>
      </c>
      <c r="AA66">
        <v>161.69999999999999</v>
      </c>
      <c r="AB66">
        <v>158.80000000000001</v>
      </c>
      <c r="AC66">
        <v>157.6</v>
      </c>
      <c r="AD66">
        <v>161.30000000000001</v>
      </c>
    </row>
    <row r="67" spans="1:30" x14ac:dyDescent="0.3">
      <c r="A67" t="s">
        <v>34</v>
      </c>
      <c r="B67">
        <v>2021</v>
      </c>
      <c r="C67" t="s">
        <v>40</v>
      </c>
      <c r="D67">
        <v>146.4</v>
      </c>
      <c r="E67">
        <v>206.8</v>
      </c>
      <c r="F67">
        <v>182.2</v>
      </c>
      <c r="G67">
        <v>157.5</v>
      </c>
      <c r="H67">
        <v>182.1</v>
      </c>
      <c r="I67">
        <v>163.9</v>
      </c>
      <c r="J67">
        <v>164.2</v>
      </c>
      <c r="K67">
        <v>164</v>
      </c>
      <c r="L67">
        <v>114.5</v>
      </c>
      <c r="M67">
        <v>168.3</v>
      </c>
      <c r="N67">
        <v>160.9</v>
      </c>
      <c r="O67">
        <v>172.2</v>
      </c>
      <c r="P67">
        <v>164</v>
      </c>
      <c r="Q67">
        <v>191.2</v>
      </c>
      <c r="R67">
        <v>162.80000000000001</v>
      </c>
      <c r="S67">
        <v>153.1</v>
      </c>
      <c r="T67">
        <v>161.4</v>
      </c>
      <c r="U67">
        <v>161.5</v>
      </c>
      <c r="V67">
        <v>160.69999999999999</v>
      </c>
      <c r="W67">
        <v>155.80000000000001</v>
      </c>
      <c r="X67">
        <v>167</v>
      </c>
      <c r="Y67">
        <v>153.1</v>
      </c>
      <c r="Z67">
        <v>155.30000000000001</v>
      </c>
      <c r="AA67">
        <v>163.19999999999999</v>
      </c>
      <c r="AB67">
        <v>160.1</v>
      </c>
      <c r="AC67">
        <v>159</v>
      </c>
      <c r="AD67">
        <v>162.5</v>
      </c>
    </row>
    <row r="68" spans="1:30" x14ac:dyDescent="0.3">
      <c r="A68" t="s">
        <v>34</v>
      </c>
      <c r="B68">
        <v>2021</v>
      </c>
      <c r="C68" t="s">
        <v>41</v>
      </c>
      <c r="D68">
        <v>146.6</v>
      </c>
      <c r="E68">
        <v>204</v>
      </c>
      <c r="F68">
        <v>172.8</v>
      </c>
      <c r="G68">
        <v>158.4</v>
      </c>
      <c r="H68">
        <v>188</v>
      </c>
      <c r="I68">
        <v>156.80000000000001</v>
      </c>
      <c r="J68">
        <v>162.19999999999999</v>
      </c>
      <c r="K68">
        <v>164.1</v>
      </c>
      <c r="L68">
        <v>119.7</v>
      </c>
      <c r="M68">
        <v>168.8</v>
      </c>
      <c r="N68">
        <v>162.69999999999999</v>
      </c>
      <c r="O68">
        <v>173.9</v>
      </c>
      <c r="P68">
        <v>164</v>
      </c>
      <c r="Q68">
        <v>192.1</v>
      </c>
      <c r="R68">
        <v>164.5</v>
      </c>
      <c r="S68">
        <v>155.30000000000001</v>
      </c>
      <c r="T68">
        <v>163.19999999999999</v>
      </c>
      <c r="U68">
        <v>162.1</v>
      </c>
      <c r="V68">
        <v>162.6</v>
      </c>
      <c r="W68">
        <v>157.5</v>
      </c>
      <c r="X68">
        <v>168.4</v>
      </c>
      <c r="Y68">
        <v>154</v>
      </c>
      <c r="Z68">
        <v>157.6</v>
      </c>
      <c r="AA68">
        <v>163.80000000000001</v>
      </c>
      <c r="AB68">
        <v>160</v>
      </c>
      <c r="AC68">
        <v>160</v>
      </c>
      <c r="AD68">
        <v>163.19999999999999</v>
      </c>
    </row>
    <row r="69" spans="1:30" x14ac:dyDescent="0.3">
      <c r="A69" t="s">
        <v>34</v>
      </c>
      <c r="B69">
        <v>2021</v>
      </c>
      <c r="C69" t="s">
        <v>42</v>
      </c>
      <c r="D69">
        <v>146.6</v>
      </c>
      <c r="E69">
        <v>204</v>
      </c>
      <c r="F69">
        <v>172.8</v>
      </c>
      <c r="G69">
        <v>158.4</v>
      </c>
      <c r="H69">
        <v>188</v>
      </c>
      <c r="I69">
        <v>156.69999999999999</v>
      </c>
      <c r="J69">
        <v>162.30000000000001</v>
      </c>
      <c r="K69">
        <v>164.1</v>
      </c>
      <c r="L69">
        <v>119.7</v>
      </c>
      <c r="M69">
        <v>168.8</v>
      </c>
      <c r="N69">
        <v>162.69999999999999</v>
      </c>
      <c r="O69">
        <v>173.9</v>
      </c>
      <c r="P69">
        <v>164</v>
      </c>
      <c r="Q69">
        <v>192.1</v>
      </c>
      <c r="R69">
        <v>164.6</v>
      </c>
      <c r="S69">
        <v>155.30000000000001</v>
      </c>
      <c r="T69">
        <v>163.30000000000001</v>
      </c>
      <c r="U69">
        <v>162.1</v>
      </c>
      <c r="V69">
        <v>162.6</v>
      </c>
      <c r="W69">
        <v>157.5</v>
      </c>
      <c r="X69">
        <v>168.4</v>
      </c>
      <c r="Y69">
        <v>154</v>
      </c>
      <c r="Z69">
        <v>157.69999999999999</v>
      </c>
      <c r="AA69">
        <v>163.69999999999999</v>
      </c>
      <c r="AB69">
        <v>160</v>
      </c>
      <c r="AC69">
        <v>160</v>
      </c>
      <c r="AD69">
        <v>163.19999999999999</v>
      </c>
    </row>
    <row r="70" spans="1:30" x14ac:dyDescent="0.3">
      <c r="A70" t="s">
        <v>34</v>
      </c>
      <c r="B70">
        <v>2021</v>
      </c>
      <c r="C70" t="s">
        <v>43</v>
      </c>
      <c r="D70">
        <v>147.4</v>
      </c>
      <c r="E70">
        <v>204.6</v>
      </c>
      <c r="F70">
        <v>171.2</v>
      </c>
      <c r="G70">
        <v>158.69999999999999</v>
      </c>
      <c r="H70">
        <v>190.6</v>
      </c>
      <c r="I70">
        <v>155.69999999999999</v>
      </c>
      <c r="J70">
        <v>185.3</v>
      </c>
      <c r="K70">
        <v>165.2</v>
      </c>
      <c r="L70">
        <v>121.9</v>
      </c>
      <c r="M70">
        <v>169.3</v>
      </c>
      <c r="N70">
        <v>163.19999999999999</v>
      </c>
      <c r="O70">
        <v>174.7</v>
      </c>
      <c r="P70">
        <v>167.7</v>
      </c>
      <c r="Q70">
        <v>192.7</v>
      </c>
      <c r="R70">
        <v>165.7</v>
      </c>
      <c r="S70">
        <v>156.30000000000001</v>
      </c>
      <c r="T70">
        <v>164.3</v>
      </c>
      <c r="U70">
        <v>163.6</v>
      </c>
      <c r="V70">
        <v>164.2</v>
      </c>
      <c r="W70">
        <v>158.4</v>
      </c>
      <c r="X70">
        <v>169.1</v>
      </c>
      <c r="Y70">
        <v>155.69999999999999</v>
      </c>
      <c r="Z70">
        <v>158.6</v>
      </c>
      <c r="AA70">
        <v>163.9</v>
      </c>
      <c r="AB70">
        <v>160.80000000000001</v>
      </c>
      <c r="AC70">
        <v>161</v>
      </c>
      <c r="AD70">
        <v>165.5</v>
      </c>
    </row>
    <row r="71" spans="1:30" x14ac:dyDescent="0.3">
      <c r="A71" t="s">
        <v>34</v>
      </c>
      <c r="B71">
        <v>2021</v>
      </c>
      <c r="C71" t="s">
        <v>45</v>
      </c>
      <c r="D71">
        <v>148.19999999999999</v>
      </c>
      <c r="E71">
        <v>201.6</v>
      </c>
      <c r="F71">
        <v>173</v>
      </c>
      <c r="G71">
        <v>159.30000000000001</v>
      </c>
      <c r="H71">
        <v>190.1</v>
      </c>
      <c r="I71">
        <v>156.5</v>
      </c>
      <c r="J71">
        <v>199.2</v>
      </c>
      <c r="K71">
        <v>165.3</v>
      </c>
      <c r="L71">
        <v>122.4</v>
      </c>
      <c r="M71">
        <v>169.6</v>
      </c>
      <c r="N71">
        <v>163.69999999999999</v>
      </c>
      <c r="O71">
        <v>175.5</v>
      </c>
      <c r="P71">
        <v>169.7</v>
      </c>
      <c r="Q71">
        <v>192.9</v>
      </c>
      <c r="R71">
        <v>167.2</v>
      </c>
      <c r="S71">
        <v>157.4</v>
      </c>
      <c r="T71">
        <v>165.8</v>
      </c>
      <c r="U71">
        <v>164.2</v>
      </c>
      <c r="V71">
        <v>163.9</v>
      </c>
      <c r="W71">
        <v>159.30000000000001</v>
      </c>
      <c r="X71">
        <v>169.9</v>
      </c>
      <c r="Y71">
        <v>154.80000000000001</v>
      </c>
      <c r="Z71">
        <v>159.80000000000001</v>
      </c>
      <c r="AA71">
        <v>164.3</v>
      </c>
      <c r="AB71">
        <v>162.19999999999999</v>
      </c>
      <c r="AC71">
        <v>161.4</v>
      </c>
      <c r="AD71">
        <v>166.7</v>
      </c>
    </row>
    <row r="72" spans="1:30" x14ac:dyDescent="0.3">
      <c r="A72" t="s">
        <v>34</v>
      </c>
      <c r="B72">
        <v>2021</v>
      </c>
      <c r="C72" t="s">
        <v>46</v>
      </c>
      <c r="D72">
        <v>148.69999999999999</v>
      </c>
      <c r="E72">
        <v>198.8</v>
      </c>
      <c r="F72">
        <v>177.9</v>
      </c>
      <c r="G72">
        <v>159.9</v>
      </c>
      <c r="H72">
        <v>187.6</v>
      </c>
      <c r="I72">
        <v>154.9</v>
      </c>
      <c r="J72">
        <v>188.3</v>
      </c>
      <c r="K72">
        <v>164.4</v>
      </c>
      <c r="L72">
        <v>121</v>
      </c>
      <c r="M72">
        <v>170.5</v>
      </c>
      <c r="N72">
        <v>164.2</v>
      </c>
      <c r="O72">
        <v>176.5</v>
      </c>
      <c r="P72">
        <v>168.2</v>
      </c>
      <c r="Q72">
        <v>192.4</v>
      </c>
      <c r="R72">
        <v>168.5</v>
      </c>
      <c r="S72">
        <v>158.69999999999999</v>
      </c>
      <c r="T72">
        <v>167</v>
      </c>
      <c r="U72">
        <v>163.4</v>
      </c>
      <c r="V72">
        <v>164.1</v>
      </c>
      <c r="W72">
        <v>160.19999999999999</v>
      </c>
      <c r="X72">
        <v>170.6</v>
      </c>
      <c r="Y72">
        <v>155.69999999999999</v>
      </c>
      <c r="Z72">
        <v>160.6</v>
      </c>
      <c r="AA72">
        <v>164.4</v>
      </c>
      <c r="AB72">
        <v>162.6</v>
      </c>
      <c r="AC72">
        <v>162</v>
      </c>
      <c r="AD72">
        <v>166.2</v>
      </c>
    </row>
    <row r="73" spans="1:30" x14ac:dyDescent="0.3">
      <c r="A73" t="s">
        <v>34</v>
      </c>
      <c r="B73">
        <v>2022</v>
      </c>
      <c r="C73" t="s">
        <v>31</v>
      </c>
      <c r="D73">
        <v>149.5</v>
      </c>
      <c r="E73">
        <v>198.7</v>
      </c>
      <c r="F73">
        <v>178.8</v>
      </c>
      <c r="G73">
        <v>160.5</v>
      </c>
      <c r="H73">
        <v>184.7</v>
      </c>
      <c r="I73">
        <v>153.69999999999999</v>
      </c>
      <c r="J73">
        <v>174.3</v>
      </c>
      <c r="K73">
        <v>163.9</v>
      </c>
      <c r="L73">
        <v>120</v>
      </c>
      <c r="M73">
        <v>172.1</v>
      </c>
      <c r="N73">
        <v>164.3</v>
      </c>
      <c r="O73">
        <v>177.3</v>
      </c>
      <c r="P73">
        <v>166.4</v>
      </c>
      <c r="Q73">
        <v>192.2</v>
      </c>
      <c r="R73">
        <v>169.9</v>
      </c>
      <c r="S73">
        <v>160.69999999999999</v>
      </c>
      <c r="T73">
        <v>168.5</v>
      </c>
      <c r="U73">
        <v>164.5</v>
      </c>
      <c r="V73">
        <v>164.2</v>
      </c>
      <c r="W73">
        <v>161.1</v>
      </c>
      <c r="X73">
        <v>171.4</v>
      </c>
      <c r="Y73">
        <v>156.5</v>
      </c>
      <c r="Z73">
        <v>161.19999999999999</v>
      </c>
      <c r="AA73">
        <v>164.7</v>
      </c>
      <c r="AB73">
        <v>163</v>
      </c>
      <c r="AC73">
        <v>162.69999999999999</v>
      </c>
      <c r="AD73">
        <v>165.7</v>
      </c>
    </row>
    <row r="74" spans="1:30" x14ac:dyDescent="0.3">
      <c r="A74" t="s">
        <v>34</v>
      </c>
      <c r="B74">
        <v>2022</v>
      </c>
      <c r="C74" t="s">
        <v>35</v>
      </c>
      <c r="D74">
        <v>150</v>
      </c>
      <c r="E74">
        <v>200.6</v>
      </c>
      <c r="F74">
        <v>175.8</v>
      </c>
      <c r="G74">
        <v>160.69999999999999</v>
      </c>
      <c r="H74">
        <v>184.9</v>
      </c>
      <c r="I74">
        <v>153.69999999999999</v>
      </c>
      <c r="J74">
        <v>169.7</v>
      </c>
      <c r="K74">
        <v>163.69999999999999</v>
      </c>
      <c r="L74">
        <v>118.9</v>
      </c>
      <c r="M74">
        <v>174.3</v>
      </c>
      <c r="N74">
        <v>164.7</v>
      </c>
      <c r="O74">
        <v>178</v>
      </c>
      <c r="P74">
        <v>166.2</v>
      </c>
      <c r="Q74">
        <v>192.8</v>
      </c>
      <c r="R74">
        <v>170.8</v>
      </c>
      <c r="S74">
        <v>162.4</v>
      </c>
      <c r="T74">
        <v>169.6</v>
      </c>
      <c r="U74">
        <v>165.5</v>
      </c>
      <c r="V74">
        <v>165.7</v>
      </c>
      <c r="W74">
        <v>161.80000000000001</v>
      </c>
      <c r="X74">
        <v>172.2</v>
      </c>
      <c r="Y74">
        <v>156.9</v>
      </c>
      <c r="Z74">
        <v>162.1</v>
      </c>
      <c r="AA74">
        <v>165.4</v>
      </c>
      <c r="AB74">
        <v>164.4</v>
      </c>
      <c r="AC74">
        <v>163.5</v>
      </c>
      <c r="AD74">
        <v>166.1</v>
      </c>
    </row>
    <row r="75" spans="1:30" x14ac:dyDescent="0.3">
      <c r="A75" t="s">
        <v>34</v>
      </c>
      <c r="B75">
        <v>2022</v>
      </c>
      <c r="C75" t="s">
        <v>36</v>
      </c>
      <c r="D75">
        <v>151.30000000000001</v>
      </c>
      <c r="E75">
        <v>210.7</v>
      </c>
      <c r="F75">
        <v>167.8</v>
      </c>
      <c r="G75">
        <v>162.19999999999999</v>
      </c>
      <c r="H75">
        <v>194.6</v>
      </c>
      <c r="I75">
        <v>157.6</v>
      </c>
      <c r="J75">
        <v>166.9</v>
      </c>
      <c r="K75">
        <v>163.9</v>
      </c>
      <c r="L75">
        <v>118.8</v>
      </c>
      <c r="M75">
        <v>177.4</v>
      </c>
      <c r="N75">
        <v>165.3</v>
      </c>
      <c r="O75">
        <v>179.3</v>
      </c>
      <c r="P75">
        <v>168.4</v>
      </c>
      <c r="Q75">
        <v>193.7</v>
      </c>
      <c r="R75">
        <v>172.1</v>
      </c>
      <c r="S75">
        <v>164.6</v>
      </c>
      <c r="T75">
        <v>171.1</v>
      </c>
      <c r="U75">
        <v>165.3</v>
      </c>
      <c r="V75">
        <v>167.2</v>
      </c>
      <c r="W75">
        <v>162.80000000000001</v>
      </c>
      <c r="X75">
        <v>173</v>
      </c>
      <c r="Y75">
        <v>157.9</v>
      </c>
      <c r="Z75">
        <v>163.30000000000001</v>
      </c>
      <c r="AA75">
        <v>166</v>
      </c>
      <c r="AB75">
        <v>167.2</v>
      </c>
      <c r="AC75">
        <v>164.6</v>
      </c>
      <c r="AD75">
        <v>167.7</v>
      </c>
    </row>
    <row r="76" spans="1:30" x14ac:dyDescent="0.3">
      <c r="A76" t="s">
        <v>34</v>
      </c>
      <c r="B76">
        <v>2022</v>
      </c>
      <c r="C76" t="s">
        <v>37</v>
      </c>
      <c r="D76">
        <v>152.9</v>
      </c>
      <c r="E76">
        <v>211.8</v>
      </c>
      <c r="F76">
        <v>164.5</v>
      </c>
      <c r="G76">
        <v>163.9</v>
      </c>
      <c r="H76">
        <v>199.5</v>
      </c>
      <c r="I76">
        <v>172.6</v>
      </c>
      <c r="J76">
        <v>166.2</v>
      </c>
      <c r="K76">
        <v>164.7</v>
      </c>
      <c r="L76">
        <v>119</v>
      </c>
      <c r="M76">
        <v>181.3</v>
      </c>
      <c r="N76">
        <v>166.2</v>
      </c>
      <c r="O76">
        <v>180.9</v>
      </c>
      <c r="P76">
        <v>170.8</v>
      </c>
      <c r="Q76">
        <v>193.9</v>
      </c>
      <c r="R76">
        <v>173.9</v>
      </c>
      <c r="S76">
        <v>166.5</v>
      </c>
      <c r="T76">
        <v>172.8</v>
      </c>
      <c r="U76">
        <v>167</v>
      </c>
      <c r="V76">
        <v>172.2</v>
      </c>
      <c r="W76">
        <v>164</v>
      </c>
      <c r="X76">
        <v>174</v>
      </c>
      <c r="Y76">
        <v>162.6</v>
      </c>
      <c r="Z76">
        <v>164.4</v>
      </c>
      <c r="AA76">
        <v>166.9</v>
      </c>
      <c r="AB76">
        <v>168.8</v>
      </c>
      <c r="AC76">
        <v>166.8</v>
      </c>
      <c r="AD76">
        <v>170.1</v>
      </c>
    </row>
    <row r="77" spans="1:30" x14ac:dyDescent="0.3">
      <c r="A77" t="s">
        <v>34</v>
      </c>
      <c r="B77">
        <v>2022</v>
      </c>
      <c r="C77" t="s">
        <v>38</v>
      </c>
      <c r="D77">
        <v>154.1</v>
      </c>
      <c r="E77">
        <v>217</v>
      </c>
      <c r="F77">
        <v>162.4</v>
      </c>
      <c r="G77">
        <v>164.9</v>
      </c>
      <c r="H77">
        <v>202.4</v>
      </c>
      <c r="I77">
        <v>171</v>
      </c>
      <c r="J77">
        <v>174.9</v>
      </c>
      <c r="K77">
        <v>164.7</v>
      </c>
      <c r="L77">
        <v>119.7</v>
      </c>
      <c r="M77">
        <v>184.9</v>
      </c>
      <c r="N77">
        <v>167.1</v>
      </c>
      <c r="O77">
        <v>182.5</v>
      </c>
      <c r="P77">
        <v>173.3</v>
      </c>
      <c r="Q77">
        <v>194.1</v>
      </c>
      <c r="R77">
        <v>175.6</v>
      </c>
      <c r="S77">
        <v>168.4</v>
      </c>
      <c r="T77">
        <v>174.6</v>
      </c>
      <c r="U77">
        <v>167.5</v>
      </c>
      <c r="V77">
        <v>174.6</v>
      </c>
      <c r="W77">
        <v>165.2</v>
      </c>
      <c r="X77">
        <v>174.8</v>
      </c>
      <c r="Y77">
        <v>163</v>
      </c>
      <c r="Z77">
        <v>165.1</v>
      </c>
      <c r="AA77">
        <v>167.9</v>
      </c>
      <c r="AB77">
        <v>168.4</v>
      </c>
      <c r="AC77">
        <v>167.5</v>
      </c>
      <c r="AD77">
        <v>171.7</v>
      </c>
    </row>
    <row r="78" spans="1:30" x14ac:dyDescent="0.3">
      <c r="A78" t="s">
        <v>34</v>
      </c>
      <c r="B78">
        <v>2022</v>
      </c>
      <c r="C78" t="s">
        <v>39</v>
      </c>
      <c r="D78">
        <v>155</v>
      </c>
      <c r="E78">
        <v>219.4</v>
      </c>
      <c r="F78">
        <v>170.8</v>
      </c>
      <c r="G78">
        <v>165.8</v>
      </c>
      <c r="H78">
        <v>200.9</v>
      </c>
      <c r="I78">
        <v>169.7</v>
      </c>
      <c r="J78">
        <v>182.3</v>
      </c>
      <c r="K78">
        <v>164.3</v>
      </c>
      <c r="L78">
        <v>119.9</v>
      </c>
      <c r="M78">
        <v>187.1</v>
      </c>
      <c r="N78">
        <v>167.9</v>
      </c>
      <c r="O78">
        <v>183.9</v>
      </c>
      <c r="P78">
        <v>174.9</v>
      </c>
      <c r="Q78">
        <v>194.3</v>
      </c>
      <c r="R78">
        <v>177.1</v>
      </c>
      <c r="S78">
        <v>169.9</v>
      </c>
      <c r="T78">
        <v>176</v>
      </c>
      <c r="U78">
        <v>166.8</v>
      </c>
      <c r="V78">
        <v>176</v>
      </c>
      <c r="W78">
        <v>166.4</v>
      </c>
      <c r="X78">
        <v>175.4</v>
      </c>
      <c r="Y78">
        <v>161.1</v>
      </c>
      <c r="Z78">
        <v>165.8</v>
      </c>
      <c r="AA78">
        <v>169</v>
      </c>
      <c r="AB78">
        <v>169.4</v>
      </c>
      <c r="AC78">
        <v>167.5</v>
      </c>
      <c r="AD78">
        <v>172.6</v>
      </c>
    </row>
    <row r="79" spans="1:30" x14ac:dyDescent="0.3">
      <c r="A79" t="s">
        <v>34</v>
      </c>
      <c r="B79">
        <v>2022</v>
      </c>
      <c r="C79" t="s">
        <v>40</v>
      </c>
      <c r="D79">
        <v>156.5</v>
      </c>
      <c r="E79">
        <v>213</v>
      </c>
      <c r="F79">
        <v>175.2</v>
      </c>
      <c r="G79">
        <v>166.6</v>
      </c>
      <c r="H79">
        <v>195.8</v>
      </c>
      <c r="I79">
        <v>174.2</v>
      </c>
      <c r="J79">
        <v>182.1</v>
      </c>
      <c r="K79">
        <v>164.3</v>
      </c>
      <c r="L79">
        <v>120</v>
      </c>
      <c r="M79">
        <v>190</v>
      </c>
      <c r="N79">
        <v>168.4</v>
      </c>
      <c r="O79">
        <v>185.2</v>
      </c>
      <c r="P79">
        <v>175</v>
      </c>
      <c r="Q79">
        <v>194.6</v>
      </c>
      <c r="R79">
        <v>178.3</v>
      </c>
      <c r="S79">
        <v>171.3</v>
      </c>
      <c r="T79">
        <v>177.3</v>
      </c>
      <c r="U79">
        <v>167.8</v>
      </c>
      <c r="V79">
        <v>179.6</v>
      </c>
      <c r="W79">
        <v>167.4</v>
      </c>
      <c r="X79">
        <v>176.1</v>
      </c>
      <c r="Y79">
        <v>161.6</v>
      </c>
      <c r="Z79">
        <v>166.3</v>
      </c>
      <c r="AA79">
        <v>171.4</v>
      </c>
      <c r="AB79">
        <v>169.7</v>
      </c>
      <c r="AC79">
        <v>168.4</v>
      </c>
      <c r="AD79">
        <v>173.4</v>
      </c>
    </row>
    <row r="80" spans="1:30" x14ac:dyDescent="0.3">
      <c r="A80" t="s">
        <v>34</v>
      </c>
      <c r="B80">
        <v>2022</v>
      </c>
      <c r="C80" t="s">
        <v>41</v>
      </c>
      <c r="D80">
        <v>160.30000000000001</v>
      </c>
      <c r="E80">
        <v>206.5</v>
      </c>
      <c r="F80">
        <v>169.2</v>
      </c>
      <c r="G80">
        <v>168.1</v>
      </c>
      <c r="H80">
        <v>192.4</v>
      </c>
      <c r="I80">
        <v>172.9</v>
      </c>
      <c r="J80">
        <v>186.7</v>
      </c>
      <c r="K80">
        <v>167.2</v>
      </c>
      <c r="L80">
        <v>120.9</v>
      </c>
      <c r="M80">
        <v>193.6</v>
      </c>
      <c r="N80">
        <v>168.8</v>
      </c>
      <c r="O80">
        <v>186.3</v>
      </c>
      <c r="P80">
        <v>176.3</v>
      </c>
      <c r="Q80">
        <v>195</v>
      </c>
      <c r="R80">
        <v>179.5</v>
      </c>
      <c r="S80">
        <v>172.7</v>
      </c>
      <c r="T80">
        <v>178.5</v>
      </c>
      <c r="U80">
        <v>169</v>
      </c>
      <c r="V80">
        <v>178.8</v>
      </c>
      <c r="W80">
        <v>168.5</v>
      </c>
      <c r="X80">
        <v>176.8</v>
      </c>
      <c r="Y80">
        <v>161.9</v>
      </c>
      <c r="Z80">
        <v>166.9</v>
      </c>
      <c r="AA80">
        <v>172.3</v>
      </c>
      <c r="AB80">
        <v>171.2</v>
      </c>
      <c r="AC80">
        <v>169.1</v>
      </c>
      <c r="AD80">
        <v>174.3</v>
      </c>
    </row>
    <row r="81" spans="1:30" x14ac:dyDescent="0.3">
      <c r="A81" t="s">
        <v>34</v>
      </c>
      <c r="B81">
        <v>2022</v>
      </c>
      <c r="C81" t="s">
        <v>42</v>
      </c>
      <c r="D81">
        <v>163.5</v>
      </c>
      <c r="E81">
        <v>209.2</v>
      </c>
      <c r="F81">
        <v>169.7</v>
      </c>
      <c r="G81">
        <v>169.7</v>
      </c>
      <c r="H81">
        <v>188.7</v>
      </c>
      <c r="I81">
        <v>165.7</v>
      </c>
      <c r="J81">
        <v>191.8</v>
      </c>
      <c r="K81">
        <v>169.1</v>
      </c>
      <c r="L81">
        <v>121.6</v>
      </c>
      <c r="M81">
        <v>197.3</v>
      </c>
      <c r="N81">
        <v>169.4</v>
      </c>
      <c r="O81">
        <v>187.4</v>
      </c>
      <c r="P81">
        <v>177.8</v>
      </c>
      <c r="Q81">
        <v>195.9</v>
      </c>
      <c r="R81">
        <v>180.9</v>
      </c>
      <c r="S81">
        <v>174.3</v>
      </c>
      <c r="T81">
        <v>179.9</v>
      </c>
      <c r="U81">
        <v>169.5</v>
      </c>
      <c r="V81">
        <v>179.5</v>
      </c>
      <c r="W81">
        <v>169.5</v>
      </c>
      <c r="X81">
        <v>177.8</v>
      </c>
      <c r="Y81">
        <v>162.30000000000001</v>
      </c>
      <c r="Z81">
        <v>167.6</v>
      </c>
      <c r="AA81">
        <v>173.1</v>
      </c>
      <c r="AB81">
        <v>170.9</v>
      </c>
      <c r="AC81">
        <v>169.7</v>
      </c>
      <c r="AD81">
        <v>175.3</v>
      </c>
    </row>
    <row r="82" spans="1:30" x14ac:dyDescent="0.3">
      <c r="A82" t="s">
        <v>34</v>
      </c>
      <c r="B82">
        <v>2022</v>
      </c>
      <c r="C82" t="s">
        <v>43</v>
      </c>
      <c r="D82">
        <v>165.2</v>
      </c>
      <c r="E82">
        <v>210.9</v>
      </c>
      <c r="F82">
        <v>170.9</v>
      </c>
      <c r="G82">
        <v>170.9</v>
      </c>
      <c r="H82">
        <v>186.5</v>
      </c>
      <c r="I82">
        <v>163.80000000000001</v>
      </c>
      <c r="J82">
        <v>199.7</v>
      </c>
      <c r="K82">
        <v>169.8</v>
      </c>
      <c r="L82">
        <v>121.9</v>
      </c>
      <c r="M82">
        <v>199.9</v>
      </c>
      <c r="N82">
        <v>169.9</v>
      </c>
      <c r="O82">
        <v>188.3</v>
      </c>
      <c r="P82">
        <v>179.6</v>
      </c>
      <c r="Q82">
        <v>196.3</v>
      </c>
      <c r="R82">
        <v>181.9</v>
      </c>
      <c r="S82">
        <v>175.3</v>
      </c>
      <c r="T82">
        <v>181</v>
      </c>
      <c r="U82">
        <v>171.2</v>
      </c>
      <c r="V82">
        <v>180.5</v>
      </c>
      <c r="W82">
        <v>170.4</v>
      </c>
      <c r="X82">
        <v>178.7</v>
      </c>
      <c r="Y82">
        <v>162.9</v>
      </c>
      <c r="Z82">
        <v>168.2</v>
      </c>
      <c r="AA82">
        <v>173.4</v>
      </c>
      <c r="AB82">
        <v>172.1</v>
      </c>
      <c r="AC82">
        <v>170.5</v>
      </c>
      <c r="AD82">
        <v>176.7</v>
      </c>
    </row>
    <row r="83" spans="1:30" x14ac:dyDescent="0.3">
      <c r="A83" t="s">
        <v>34</v>
      </c>
      <c r="B83">
        <v>2022</v>
      </c>
      <c r="C83" t="s">
        <v>45</v>
      </c>
      <c r="D83">
        <v>167.4</v>
      </c>
      <c r="E83">
        <v>209.4</v>
      </c>
      <c r="F83">
        <v>181.4</v>
      </c>
      <c r="G83">
        <v>172.3</v>
      </c>
      <c r="H83">
        <v>188.9</v>
      </c>
      <c r="I83">
        <v>160.69999999999999</v>
      </c>
      <c r="J83">
        <v>183.1</v>
      </c>
      <c r="K83">
        <v>170.5</v>
      </c>
      <c r="L83">
        <v>122.1</v>
      </c>
      <c r="M83">
        <v>202.8</v>
      </c>
      <c r="N83">
        <v>170.4</v>
      </c>
      <c r="O83">
        <v>189.5</v>
      </c>
      <c r="P83">
        <v>178.3</v>
      </c>
      <c r="Q83">
        <v>196.9</v>
      </c>
      <c r="R83">
        <v>183.1</v>
      </c>
      <c r="S83">
        <v>176.2</v>
      </c>
      <c r="T83">
        <v>182.1</v>
      </c>
      <c r="U83">
        <v>171.8</v>
      </c>
      <c r="V83">
        <v>181.3</v>
      </c>
      <c r="W83">
        <v>171.4</v>
      </c>
      <c r="X83">
        <v>179.8</v>
      </c>
      <c r="Y83">
        <v>163</v>
      </c>
      <c r="Z83">
        <v>168.5</v>
      </c>
      <c r="AA83">
        <v>173.7</v>
      </c>
      <c r="AB83">
        <v>173.6</v>
      </c>
      <c r="AC83">
        <v>171.1</v>
      </c>
      <c r="AD83">
        <v>176.5</v>
      </c>
    </row>
    <row r="84" spans="1:30" x14ac:dyDescent="0.3">
      <c r="A84" t="s">
        <v>34</v>
      </c>
      <c r="B84">
        <v>2022</v>
      </c>
      <c r="C84" t="s">
        <v>46</v>
      </c>
      <c r="D84">
        <v>169.2</v>
      </c>
      <c r="E84">
        <v>209</v>
      </c>
      <c r="F84">
        <v>190.2</v>
      </c>
      <c r="G84">
        <v>173.6</v>
      </c>
      <c r="H84">
        <v>188.5</v>
      </c>
      <c r="I84">
        <v>158</v>
      </c>
      <c r="J84">
        <v>159.9</v>
      </c>
      <c r="K84">
        <v>170.8</v>
      </c>
      <c r="L84">
        <v>121.8</v>
      </c>
      <c r="M84">
        <v>205.2</v>
      </c>
      <c r="N84">
        <v>171</v>
      </c>
      <c r="O84">
        <v>190.3</v>
      </c>
      <c r="P84">
        <v>175.9</v>
      </c>
      <c r="Q84">
        <v>197.3</v>
      </c>
      <c r="R84">
        <v>184</v>
      </c>
      <c r="S84">
        <v>177</v>
      </c>
      <c r="T84">
        <v>183</v>
      </c>
      <c r="U84">
        <v>170.7</v>
      </c>
      <c r="V84">
        <v>182</v>
      </c>
      <c r="W84">
        <v>172.1</v>
      </c>
      <c r="X84">
        <v>181.1</v>
      </c>
      <c r="Y84">
        <v>163.4</v>
      </c>
      <c r="Z84">
        <v>168.9</v>
      </c>
      <c r="AA84">
        <v>174.1</v>
      </c>
      <c r="AB84">
        <v>175.8</v>
      </c>
      <c r="AC84">
        <v>172</v>
      </c>
      <c r="AD84">
        <v>175.7</v>
      </c>
    </row>
    <row r="85" spans="1:30" x14ac:dyDescent="0.3">
      <c r="A85" t="s">
        <v>34</v>
      </c>
      <c r="B85">
        <v>2023</v>
      </c>
      <c r="C85" t="s">
        <v>31</v>
      </c>
      <c r="D85">
        <v>173.8</v>
      </c>
      <c r="E85">
        <v>210.7</v>
      </c>
      <c r="F85">
        <v>194.5</v>
      </c>
      <c r="G85">
        <v>174.6</v>
      </c>
      <c r="H85">
        <v>187.2</v>
      </c>
      <c r="I85">
        <v>158.30000000000001</v>
      </c>
      <c r="J85">
        <v>153.9</v>
      </c>
      <c r="K85">
        <v>170.9</v>
      </c>
      <c r="L85">
        <v>121.1</v>
      </c>
      <c r="M85">
        <v>208.4</v>
      </c>
      <c r="N85">
        <v>171.4</v>
      </c>
      <c r="O85">
        <v>191.2</v>
      </c>
      <c r="P85">
        <v>176.7</v>
      </c>
      <c r="Q85">
        <v>198.2</v>
      </c>
      <c r="R85">
        <v>184.9</v>
      </c>
      <c r="S85">
        <v>177.6</v>
      </c>
      <c r="T85">
        <v>183.8</v>
      </c>
      <c r="U85">
        <v>172.1</v>
      </c>
      <c r="V85">
        <v>182</v>
      </c>
      <c r="W85">
        <v>172.9</v>
      </c>
      <c r="X85">
        <v>182.3</v>
      </c>
      <c r="Y85">
        <v>163.6</v>
      </c>
      <c r="Z85">
        <v>169.5</v>
      </c>
      <c r="AA85">
        <v>174.3</v>
      </c>
      <c r="AB85">
        <v>178.6</v>
      </c>
      <c r="AC85">
        <v>172.8</v>
      </c>
      <c r="AD85">
        <v>176.5</v>
      </c>
    </row>
    <row r="86" spans="1:30" x14ac:dyDescent="0.3">
      <c r="A86" t="s">
        <v>34</v>
      </c>
      <c r="B86">
        <v>2023</v>
      </c>
      <c r="C86" t="s">
        <v>35</v>
      </c>
      <c r="D86">
        <v>174.4</v>
      </c>
      <c r="E86">
        <v>207.7</v>
      </c>
      <c r="F86">
        <v>175.2</v>
      </c>
      <c r="G86">
        <v>177.3</v>
      </c>
      <c r="H86">
        <v>179.3</v>
      </c>
      <c r="I86">
        <v>169.5</v>
      </c>
      <c r="J86">
        <v>152.69999999999999</v>
      </c>
      <c r="K86">
        <v>171</v>
      </c>
      <c r="L86">
        <v>120</v>
      </c>
      <c r="M86">
        <v>209.7</v>
      </c>
      <c r="N86">
        <v>172.3</v>
      </c>
      <c r="O86">
        <v>193</v>
      </c>
      <c r="P86">
        <v>177</v>
      </c>
      <c r="Q86">
        <v>199.5</v>
      </c>
      <c r="R86">
        <v>186.2</v>
      </c>
      <c r="S86">
        <v>178.7</v>
      </c>
      <c r="T86">
        <v>185.1</v>
      </c>
      <c r="U86">
        <v>173.5</v>
      </c>
      <c r="V86">
        <v>182.1</v>
      </c>
      <c r="W86">
        <v>174.2</v>
      </c>
      <c r="X86">
        <v>184.4</v>
      </c>
      <c r="Y86">
        <v>164.2</v>
      </c>
      <c r="Z86">
        <v>170.3</v>
      </c>
      <c r="AA86">
        <v>175</v>
      </c>
      <c r="AB86">
        <v>181</v>
      </c>
      <c r="AC86">
        <v>174.1</v>
      </c>
      <c r="AD86">
        <v>177.2</v>
      </c>
    </row>
    <row r="87" spans="1:30" x14ac:dyDescent="0.3">
      <c r="A87" t="s">
        <v>34</v>
      </c>
      <c r="B87">
        <v>2023</v>
      </c>
      <c r="C87" t="s">
        <v>36</v>
      </c>
      <c r="D87">
        <v>174.4</v>
      </c>
      <c r="E87">
        <v>207.7</v>
      </c>
      <c r="F87">
        <v>175.2</v>
      </c>
      <c r="G87">
        <v>177.3</v>
      </c>
      <c r="H87">
        <v>179.2</v>
      </c>
      <c r="I87">
        <v>169.5</v>
      </c>
      <c r="J87">
        <v>152.80000000000001</v>
      </c>
      <c r="K87">
        <v>171.1</v>
      </c>
      <c r="L87">
        <v>120</v>
      </c>
      <c r="M87">
        <v>209.7</v>
      </c>
      <c r="N87">
        <v>172.3</v>
      </c>
      <c r="O87">
        <v>193</v>
      </c>
      <c r="P87">
        <v>177</v>
      </c>
      <c r="Q87">
        <v>199.5</v>
      </c>
      <c r="R87">
        <v>186.1</v>
      </c>
      <c r="S87">
        <v>178.7</v>
      </c>
      <c r="T87">
        <v>185.1</v>
      </c>
      <c r="U87">
        <v>173.5</v>
      </c>
      <c r="V87">
        <v>181.9</v>
      </c>
      <c r="W87">
        <v>174.2</v>
      </c>
      <c r="X87">
        <v>184.4</v>
      </c>
      <c r="Y87">
        <v>164.2</v>
      </c>
      <c r="Z87">
        <v>170.3</v>
      </c>
      <c r="AA87">
        <v>175</v>
      </c>
      <c r="AB87">
        <v>181</v>
      </c>
      <c r="AC87">
        <v>174.1</v>
      </c>
      <c r="AD87">
        <v>177.2</v>
      </c>
    </row>
    <row r="88" spans="1:30" x14ac:dyDescent="0.3">
      <c r="A88" t="s">
        <v>34</v>
      </c>
      <c r="B88">
        <v>2023</v>
      </c>
      <c r="C88" t="s">
        <v>37</v>
      </c>
      <c r="D88">
        <v>173.8</v>
      </c>
      <c r="E88">
        <v>209.3</v>
      </c>
      <c r="F88">
        <v>169.6</v>
      </c>
      <c r="G88">
        <v>178.4</v>
      </c>
      <c r="H88">
        <v>174.9</v>
      </c>
      <c r="I88">
        <v>176.3</v>
      </c>
      <c r="J88">
        <v>155.4</v>
      </c>
      <c r="K88">
        <v>173.4</v>
      </c>
      <c r="L88">
        <v>121.3</v>
      </c>
      <c r="M88">
        <v>212.9</v>
      </c>
      <c r="N88">
        <v>172.9</v>
      </c>
      <c r="O88">
        <v>193.5</v>
      </c>
      <c r="P88">
        <v>177.9</v>
      </c>
      <c r="Q88">
        <v>200.6</v>
      </c>
      <c r="R88">
        <v>186.9</v>
      </c>
      <c r="S88">
        <v>179.2</v>
      </c>
      <c r="T88">
        <v>185.7</v>
      </c>
      <c r="U88">
        <v>175.2</v>
      </c>
      <c r="V88">
        <v>181.7</v>
      </c>
      <c r="W88">
        <v>174.6</v>
      </c>
      <c r="X88">
        <v>185</v>
      </c>
      <c r="Y88">
        <v>164.5</v>
      </c>
      <c r="Z88">
        <v>170.7</v>
      </c>
      <c r="AA88">
        <v>176.4</v>
      </c>
      <c r="AB88">
        <v>184</v>
      </c>
      <c r="AC88">
        <v>175</v>
      </c>
      <c r="AD88">
        <v>178.1</v>
      </c>
    </row>
    <row r="89" spans="1:30" x14ac:dyDescent="0.3">
      <c r="A89" t="s">
        <v>34</v>
      </c>
      <c r="B89">
        <v>2023</v>
      </c>
      <c r="C89" t="s">
        <v>38</v>
      </c>
      <c r="D89">
        <v>173.7</v>
      </c>
      <c r="E89">
        <v>214.3</v>
      </c>
      <c r="F89">
        <v>173.2</v>
      </c>
      <c r="G89">
        <v>179.5</v>
      </c>
      <c r="H89">
        <v>170</v>
      </c>
      <c r="I89">
        <v>172.2</v>
      </c>
      <c r="J89">
        <v>161</v>
      </c>
      <c r="K89">
        <v>175.6</v>
      </c>
      <c r="L89">
        <v>122.7</v>
      </c>
      <c r="M89">
        <v>218</v>
      </c>
      <c r="N89">
        <v>173.4</v>
      </c>
      <c r="O89">
        <v>194.2</v>
      </c>
      <c r="P89">
        <v>179.1</v>
      </c>
      <c r="Q89">
        <v>201</v>
      </c>
      <c r="R89">
        <v>187.3</v>
      </c>
      <c r="S89">
        <v>179.7</v>
      </c>
      <c r="T89">
        <v>186.2</v>
      </c>
      <c r="U89">
        <v>175.6</v>
      </c>
      <c r="V89">
        <v>182.8</v>
      </c>
      <c r="W89">
        <v>175.2</v>
      </c>
      <c r="X89">
        <v>185.7</v>
      </c>
      <c r="Y89">
        <v>164.8</v>
      </c>
      <c r="Z89">
        <v>171.2</v>
      </c>
      <c r="AA89">
        <v>177.1</v>
      </c>
      <c r="AB89">
        <v>185.2</v>
      </c>
      <c r="AC89">
        <v>175.7</v>
      </c>
      <c r="AD89">
        <v>179.1</v>
      </c>
    </row>
  </sheetData>
  <autoFilter ref="A1:AD89" xr:uid="{7986A17A-4585-44C9-814C-79D600C4068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DC9BB-2569-410E-AD31-08D4F5398418}">
  <dimension ref="A1:AJ34"/>
  <sheetViews>
    <sheetView topLeftCell="O13" workbookViewId="0">
      <selection activeCell="X35" sqref="X35"/>
    </sheetView>
  </sheetViews>
  <sheetFormatPr defaultRowHeight="14.4" x14ac:dyDescent="0.3"/>
  <cols>
    <col min="20" max="20" width="8.44140625" customWidth="1"/>
    <col min="23" max="23" width="8.7773437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5" x14ac:dyDescent="0.3">
      <c r="A2" t="s">
        <v>34</v>
      </c>
      <c r="B2">
        <v>2021</v>
      </c>
      <c r="C2" t="s">
        <v>31</v>
      </c>
      <c r="D2">
        <v>144.9</v>
      </c>
      <c r="E2">
        <v>190.1</v>
      </c>
      <c r="F2">
        <v>175.3</v>
      </c>
      <c r="G2">
        <v>154.1</v>
      </c>
      <c r="H2">
        <v>150.9</v>
      </c>
      <c r="I2">
        <v>149.6</v>
      </c>
      <c r="J2">
        <v>194.2</v>
      </c>
      <c r="K2">
        <v>160.4</v>
      </c>
      <c r="L2">
        <v>114.6</v>
      </c>
      <c r="M2">
        <v>164</v>
      </c>
      <c r="N2">
        <v>151.80000000000001</v>
      </c>
      <c r="O2">
        <v>165.6</v>
      </c>
      <c r="P2">
        <v>161</v>
      </c>
      <c r="Q2">
        <v>186.5</v>
      </c>
      <c r="R2">
        <v>155.5</v>
      </c>
      <c r="S2">
        <v>146.1</v>
      </c>
      <c r="T2">
        <v>154.19999999999999</v>
      </c>
      <c r="U2">
        <v>157.69999999999999</v>
      </c>
      <c r="V2">
        <v>147.9</v>
      </c>
      <c r="W2">
        <v>150</v>
      </c>
      <c r="X2">
        <v>159.30000000000001</v>
      </c>
      <c r="Y2">
        <v>141.9</v>
      </c>
      <c r="Z2">
        <v>149.6</v>
      </c>
      <c r="AA2">
        <v>159.19999999999999</v>
      </c>
      <c r="AB2">
        <v>156.80000000000001</v>
      </c>
      <c r="AC2">
        <v>151.9</v>
      </c>
      <c r="AD2">
        <v>157.30000000000001</v>
      </c>
    </row>
    <row r="3" spans="1:35" x14ac:dyDescent="0.3">
      <c r="A3" t="s">
        <v>34</v>
      </c>
      <c r="B3">
        <v>2021</v>
      </c>
      <c r="C3" t="s">
        <v>35</v>
      </c>
      <c r="D3">
        <v>144.30000000000001</v>
      </c>
      <c r="E3">
        <v>186.5</v>
      </c>
      <c r="F3">
        <v>168.7</v>
      </c>
      <c r="G3">
        <v>154.69999999999999</v>
      </c>
      <c r="H3">
        <v>158.69999999999999</v>
      </c>
      <c r="I3">
        <v>150.69999999999999</v>
      </c>
      <c r="J3">
        <v>160</v>
      </c>
      <c r="K3">
        <v>158.80000000000001</v>
      </c>
      <c r="L3">
        <v>112.8</v>
      </c>
      <c r="M3">
        <v>164.2</v>
      </c>
      <c r="N3">
        <v>155.5</v>
      </c>
      <c r="O3">
        <v>167.5</v>
      </c>
      <c r="P3">
        <v>156.9</v>
      </c>
      <c r="Q3">
        <v>188.3</v>
      </c>
      <c r="R3">
        <v>157.19999999999999</v>
      </c>
      <c r="S3">
        <v>147.4</v>
      </c>
      <c r="T3">
        <v>155.80000000000001</v>
      </c>
      <c r="U3">
        <v>159.80000000000001</v>
      </c>
      <c r="V3">
        <v>152.4</v>
      </c>
      <c r="W3">
        <v>150.9</v>
      </c>
      <c r="X3">
        <v>161.30000000000001</v>
      </c>
      <c r="Y3">
        <v>145.1</v>
      </c>
      <c r="Z3">
        <v>151.5</v>
      </c>
      <c r="AA3">
        <v>159.5</v>
      </c>
      <c r="AB3">
        <v>155.80000000000001</v>
      </c>
      <c r="AC3">
        <v>153.4</v>
      </c>
      <c r="AD3">
        <v>156.6</v>
      </c>
      <c r="AF3" s="19" t="s">
        <v>113</v>
      </c>
      <c r="AG3" s="13"/>
      <c r="AH3" s="13"/>
      <c r="AI3" s="14"/>
    </row>
    <row r="4" spans="1:35" x14ac:dyDescent="0.3">
      <c r="A4" t="s">
        <v>34</v>
      </c>
      <c r="B4">
        <v>2021</v>
      </c>
      <c r="C4" t="s">
        <v>36</v>
      </c>
      <c r="D4">
        <v>144.1</v>
      </c>
      <c r="E4">
        <v>192.2</v>
      </c>
      <c r="F4">
        <v>163.80000000000001</v>
      </c>
      <c r="G4">
        <v>154.9</v>
      </c>
      <c r="H4">
        <v>163.9</v>
      </c>
      <c r="I4">
        <v>153.69999999999999</v>
      </c>
      <c r="J4">
        <v>149.5</v>
      </c>
      <c r="K4">
        <v>159.80000000000001</v>
      </c>
      <c r="L4">
        <v>112.6</v>
      </c>
      <c r="M4">
        <v>163.5</v>
      </c>
      <c r="N4">
        <v>156.5</v>
      </c>
      <c r="O4">
        <v>168.2</v>
      </c>
      <c r="P4">
        <v>156.69999999999999</v>
      </c>
      <c r="Q4">
        <v>188.1</v>
      </c>
      <c r="R4">
        <v>157.80000000000001</v>
      </c>
      <c r="S4">
        <v>147.9</v>
      </c>
      <c r="T4">
        <v>156.4</v>
      </c>
      <c r="U4">
        <v>159.9</v>
      </c>
      <c r="V4">
        <v>155.5</v>
      </c>
      <c r="W4">
        <v>151.19999999999999</v>
      </c>
      <c r="X4">
        <v>161.69999999999999</v>
      </c>
      <c r="Y4">
        <v>146.19999999999999</v>
      </c>
      <c r="Z4">
        <v>152.6</v>
      </c>
      <c r="AA4">
        <v>160.19999999999999</v>
      </c>
      <c r="AB4">
        <v>153.80000000000001</v>
      </c>
      <c r="AC4">
        <v>153.80000000000001</v>
      </c>
      <c r="AD4">
        <v>156.80000000000001</v>
      </c>
      <c r="AF4" s="16" t="s">
        <v>22</v>
      </c>
      <c r="AH4">
        <f>CORREL(V:V,W:W)</f>
        <v>0.98233324829718238</v>
      </c>
      <c r="AI4" s="20"/>
    </row>
    <row r="5" spans="1:35" x14ac:dyDescent="0.3">
      <c r="A5" t="s">
        <v>34</v>
      </c>
      <c r="B5">
        <v>2021</v>
      </c>
      <c r="C5" t="s">
        <v>37</v>
      </c>
      <c r="D5">
        <v>144.30000000000001</v>
      </c>
      <c r="E5">
        <v>198</v>
      </c>
      <c r="F5">
        <v>164.6</v>
      </c>
      <c r="G5">
        <v>155.4</v>
      </c>
      <c r="H5">
        <v>170.1</v>
      </c>
      <c r="I5">
        <v>164.4</v>
      </c>
      <c r="J5">
        <v>144.1</v>
      </c>
      <c r="K5">
        <v>161.69999999999999</v>
      </c>
      <c r="L5">
        <v>113.1</v>
      </c>
      <c r="M5">
        <v>163.9</v>
      </c>
      <c r="N5">
        <v>157.6</v>
      </c>
      <c r="O5">
        <v>168.9</v>
      </c>
      <c r="P5">
        <v>158</v>
      </c>
      <c r="Q5">
        <v>188.8</v>
      </c>
      <c r="R5">
        <v>158.80000000000001</v>
      </c>
      <c r="S5">
        <v>148.5</v>
      </c>
      <c r="T5">
        <v>157.30000000000001</v>
      </c>
      <c r="U5">
        <v>161.4</v>
      </c>
      <c r="V5">
        <v>155.6</v>
      </c>
      <c r="W5">
        <v>151.80000000000001</v>
      </c>
      <c r="X5">
        <v>162.30000000000001</v>
      </c>
      <c r="Y5">
        <v>146.6</v>
      </c>
      <c r="Z5">
        <v>153.19999999999999</v>
      </c>
      <c r="AA5">
        <v>160.30000000000001</v>
      </c>
      <c r="AB5">
        <v>155.4</v>
      </c>
      <c r="AC5">
        <v>154.4</v>
      </c>
      <c r="AD5">
        <v>157.80000000000001</v>
      </c>
      <c r="AF5" s="16" t="s">
        <v>23</v>
      </c>
      <c r="AH5">
        <f>CORREL(V:V,X:X)</f>
        <v>0.96917345703015834</v>
      </c>
      <c r="AI5" s="20"/>
    </row>
    <row r="6" spans="1:35" x14ac:dyDescent="0.3">
      <c r="A6" t="s">
        <v>34</v>
      </c>
      <c r="B6">
        <v>2021</v>
      </c>
      <c r="C6" t="s">
        <v>38</v>
      </c>
      <c r="D6">
        <v>146.30000000000001</v>
      </c>
      <c r="E6">
        <v>200.5</v>
      </c>
      <c r="F6">
        <v>170.3</v>
      </c>
      <c r="G6">
        <v>156.1</v>
      </c>
      <c r="H6">
        <v>178.7</v>
      </c>
      <c r="I6">
        <v>167.1</v>
      </c>
      <c r="J6">
        <v>147.9</v>
      </c>
      <c r="K6">
        <v>165.4</v>
      </c>
      <c r="L6">
        <v>114.8</v>
      </c>
      <c r="M6">
        <v>168.2</v>
      </c>
      <c r="N6">
        <v>159.30000000000001</v>
      </c>
      <c r="O6">
        <v>170.4</v>
      </c>
      <c r="P6">
        <v>160.69999999999999</v>
      </c>
      <c r="Q6">
        <v>191.9</v>
      </c>
      <c r="R6">
        <v>161.80000000000001</v>
      </c>
      <c r="S6">
        <v>152.1</v>
      </c>
      <c r="T6">
        <v>160.4</v>
      </c>
      <c r="U6">
        <v>161.6</v>
      </c>
      <c r="V6">
        <v>159.4</v>
      </c>
      <c r="W6">
        <v>154.69999999999999</v>
      </c>
      <c r="X6">
        <v>165.8</v>
      </c>
      <c r="Y6">
        <v>148.9</v>
      </c>
      <c r="Z6">
        <v>155.80000000000001</v>
      </c>
      <c r="AA6">
        <v>161.19999999999999</v>
      </c>
      <c r="AB6">
        <v>158.6</v>
      </c>
      <c r="AC6">
        <v>156.80000000000001</v>
      </c>
      <c r="AD6">
        <v>160.4</v>
      </c>
      <c r="AF6" s="16" t="s">
        <v>24</v>
      </c>
      <c r="AH6">
        <f>CORREL(V:V,Y:Y)</f>
        <v>0.96707995712942674</v>
      </c>
      <c r="AI6" s="20"/>
    </row>
    <row r="7" spans="1:35" x14ac:dyDescent="0.3">
      <c r="A7" t="s">
        <v>34</v>
      </c>
      <c r="B7">
        <v>2021</v>
      </c>
      <c r="C7" t="s">
        <v>39</v>
      </c>
      <c r="D7">
        <v>146.69999999999999</v>
      </c>
      <c r="E7">
        <v>202</v>
      </c>
      <c r="F7">
        <v>180.7</v>
      </c>
      <c r="G7">
        <v>156.19999999999999</v>
      </c>
      <c r="H7">
        <v>183.7</v>
      </c>
      <c r="I7">
        <v>164.6</v>
      </c>
      <c r="J7">
        <v>155.4</v>
      </c>
      <c r="K7">
        <v>166</v>
      </c>
      <c r="L7">
        <v>115.1</v>
      </c>
      <c r="M7">
        <v>168.5</v>
      </c>
      <c r="N7">
        <v>160</v>
      </c>
      <c r="O7">
        <v>172.4</v>
      </c>
      <c r="P7">
        <v>162.6</v>
      </c>
      <c r="Q7">
        <v>190.8</v>
      </c>
      <c r="R7">
        <v>162.19999999999999</v>
      </c>
      <c r="S7">
        <v>151.80000000000001</v>
      </c>
      <c r="T7">
        <v>160.69999999999999</v>
      </c>
      <c r="U7">
        <v>160.5</v>
      </c>
      <c r="V7">
        <v>159.80000000000001</v>
      </c>
      <c r="W7">
        <v>154.80000000000001</v>
      </c>
      <c r="X7">
        <v>166.3</v>
      </c>
      <c r="Y7">
        <v>150.69999999999999</v>
      </c>
      <c r="Z7">
        <v>154.9</v>
      </c>
      <c r="AA7">
        <v>161.69999999999999</v>
      </c>
      <c r="AB7">
        <v>158.80000000000001</v>
      </c>
      <c r="AC7">
        <v>157.6</v>
      </c>
      <c r="AD7">
        <v>161.30000000000001</v>
      </c>
      <c r="AF7" s="16" t="s">
        <v>25</v>
      </c>
      <c r="AH7">
        <f>CORREL(V:V,Z:Z)</f>
        <v>0.98447620936103708</v>
      </c>
      <c r="AI7" s="20"/>
    </row>
    <row r="8" spans="1:35" x14ac:dyDescent="0.3">
      <c r="A8" t="s">
        <v>34</v>
      </c>
      <c r="B8">
        <v>2021</v>
      </c>
      <c r="C8" t="s">
        <v>40</v>
      </c>
      <c r="D8">
        <v>146.4</v>
      </c>
      <c r="E8">
        <v>206.8</v>
      </c>
      <c r="F8">
        <v>182.2</v>
      </c>
      <c r="G8">
        <v>157.5</v>
      </c>
      <c r="H8">
        <v>182.1</v>
      </c>
      <c r="I8">
        <v>163.9</v>
      </c>
      <c r="J8">
        <v>164.2</v>
      </c>
      <c r="K8">
        <v>164</v>
      </c>
      <c r="L8">
        <v>114.5</v>
      </c>
      <c r="M8">
        <v>168.3</v>
      </c>
      <c r="N8">
        <v>160.9</v>
      </c>
      <c r="O8">
        <v>172.2</v>
      </c>
      <c r="P8">
        <v>164</v>
      </c>
      <c r="Q8">
        <v>191.2</v>
      </c>
      <c r="R8">
        <v>162.80000000000001</v>
      </c>
      <c r="S8">
        <v>153.1</v>
      </c>
      <c r="T8">
        <v>161.4</v>
      </c>
      <c r="U8">
        <v>161.5</v>
      </c>
      <c r="V8">
        <v>160.69999999999999</v>
      </c>
      <c r="W8">
        <v>155.80000000000001</v>
      </c>
      <c r="X8">
        <v>167</v>
      </c>
      <c r="Y8">
        <v>153.1</v>
      </c>
      <c r="Z8">
        <v>155.30000000000001</v>
      </c>
      <c r="AA8">
        <v>163.19999999999999</v>
      </c>
      <c r="AB8">
        <v>160.1</v>
      </c>
      <c r="AC8">
        <v>159</v>
      </c>
      <c r="AD8">
        <v>162.5</v>
      </c>
      <c r="AF8" s="16" t="s">
        <v>26</v>
      </c>
      <c r="AH8">
        <f>CORREL(V:V,AA:AA)</f>
        <v>0.97666248761792074</v>
      </c>
      <c r="AI8" s="20"/>
    </row>
    <row r="9" spans="1:35" x14ac:dyDescent="0.3">
      <c r="A9" t="s">
        <v>34</v>
      </c>
      <c r="B9">
        <v>2021</v>
      </c>
      <c r="C9" t="s">
        <v>41</v>
      </c>
      <c r="D9">
        <v>146.6</v>
      </c>
      <c r="E9">
        <v>204</v>
      </c>
      <c r="F9">
        <v>172.8</v>
      </c>
      <c r="G9">
        <v>158.4</v>
      </c>
      <c r="H9">
        <v>188</v>
      </c>
      <c r="I9">
        <v>156.80000000000001</v>
      </c>
      <c r="J9">
        <v>162.19999999999999</v>
      </c>
      <c r="K9">
        <v>164.1</v>
      </c>
      <c r="L9">
        <v>119.7</v>
      </c>
      <c r="M9">
        <v>168.8</v>
      </c>
      <c r="N9">
        <v>162.69999999999999</v>
      </c>
      <c r="O9">
        <v>173.9</v>
      </c>
      <c r="P9">
        <v>164</v>
      </c>
      <c r="Q9">
        <v>192.1</v>
      </c>
      <c r="R9">
        <v>164.5</v>
      </c>
      <c r="S9">
        <v>155.30000000000001</v>
      </c>
      <c r="T9">
        <v>163.19999999999999</v>
      </c>
      <c r="U9">
        <v>162.1</v>
      </c>
      <c r="V9">
        <v>162.6</v>
      </c>
      <c r="W9">
        <v>157.5</v>
      </c>
      <c r="X9">
        <v>168.4</v>
      </c>
      <c r="Y9">
        <v>154</v>
      </c>
      <c r="Z9">
        <v>157.6</v>
      </c>
      <c r="AA9">
        <v>163.80000000000001</v>
      </c>
      <c r="AB9">
        <v>160</v>
      </c>
      <c r="AC9">
        <v>160</v>
      </c>
      <c r="AD9">
        <v>163.19999999999999</v>
      </c>
      <c r="AF9" s="16" t="s">
        <v>27</v>
      </c>
      <c r="AH9">
        <f>CORREL(V:V,AB:AB)</f>
        <v>0.92900088349200627</v>
      </c>
      <c r="AI9" s="20"/>
    </row>
    <row r="10" spans="1:35" x14ac:dyDescent="0.3">
      <c r="A10" t="s">
        <v>34</v>
      </c>
      <c r="B10">
        <v>2021</v>
      </c>
      <c r="C10" t="s">
        <v>42</v>
      </c>
      <c r="D10">
        <v>146.6</v>
      </c>
      <c r="E10">
        <v>204</v>
      </c>
      <c r="F10">
        <v>172.8</v>
      </c>
      <c r="G10">
        <v>158.4</v>
      </c>
      <c r="H10">
        <v>188</v>
      </c>
      <c r="I10">
        <v>156.69999999999999</v>
      </c>
      <c r="J10">
        <v>162.30000000000001</v>
      </c>
      <c r="K10">
        <v>164.1</v>
      </c>
      <c r="L10">
        <v>119.7</v>
      </c>
      <c r="M10">
        <v>168.8</v>
      </c>
      <c r="N10">
        <v>162.69999999999999</v>
      </c>
      <c r="O10">
        <v>173.9</v>
      </c>
      <c r="P10">
        <v>164</v>
      </c>
      <c r="Q10">
        <v>192.1</v>
      </c>
      <c r="R10">
        <v>164.6</v>
      </c>
      <c r="S10">
        <v>155.30000000000001</v>
      </c>
      <c r="T10">
        <v>163.30000000000001</v>
      </c>
      <c r="U10">
        <v>162.1</v>
      </c>
      <c r="V10">
        <v>162.6</v>
      </c>
      <c r="W10">
        <v>157.5</v>
      </c>
      <c r="X10">
        <v>168.4</v>
      </c>
      <c r="Y10">
        <v>154</v>
      </c>
      <c r="Z10">
        <v>157.69999999999999</v>
      </c>
      <c r="AA10">
        <v>163.69999999999999</v>
      </c>
      <c r="AB10">
        <v>160</v>
      </c>
      <c r="AC10">
        <v>160</v>
      </c>
      <c r="AD10">
        <v>163.19999999999999</v>
      </c>
      <c r="AF10" s="16" t="s">
        <v>28</v>
      </c>
      <c r="AH10">
        <f>CORREL(V:V,AC:AC)</f>
        <v>0.98253256392256361</v>
      </c>
      <c r="AI10" s="20"/>
    </row>
    <row r="11" spans="1:35" x14ac:dyDescent="0.3">
      <c r="A11" t="s">
        <v>34</v>
      </c>
      <c r="B11">
        <v>2021</v>
      </c>
      <c r="C11" t="s">
        <v>43</v>
      </c>
      <c r="D11">
        <v>147.4</v>
      </c>
      <c r="E11">
        <v>204.6</v>
      </c>
      <c r="F11">
        <v>171.2</v>
      </c>
      <c r="G11">
        <v>158.69999999999999</v>
      </c>
      <c r="H11">
        <v>190.6</v>
      </c>
      <c r="I11">
        <v>155.69999999999999</v>
      </c>
      <c r="J11">
        <v>185.3</v>
      </c>
      <c r="K11">
        <v>165.2</v>
      </c>
      <c r="L11">
        <v>121.9</v>
      </c>
      <c r="M11">
        <v>169.3</v>
      </c>
      <c r="N11">
        <v>163.19999999999999</v>
      </c>
      <c r="O11">
        <v>174.7</v>
      </c>
      <c r="P11">
        <v>167.7</v>
      </c>
      <c r="Q11">
        <v>192.7</v>
      </c>
      <c r="R11">
        <v>165.7</v>
      </c>
      <c r="S11">
        <v>156.30000000000001</v>
      </c>
      <c r="T11">
        <v>164.3</v>
      </c>
      <c r="U11">
        <v>163.6</v>
      </c>
      <c r="V11">
        <v>164.2</v>
      </c>
      <c r="W11">
        <v>158.4</v>
      </c>
      <c r="X11">
        <v>169.1</v>
      </c>
      <c r="Y11">
        <v>155.69999999999999</v>
      </c>
      <c r="Z11">
        <v>158.6</v>
      </c>
      <c r="AA11">
        <v>163.9</v>
      </c>
      <c r="AB11">
        <v>160.80000000000001</v>
      </c>
      <c r="AC11">
        <v>161</v>
      </c>
      <c r="AD11">
        <v>165.5</v>
      </c>
      <c r="AF11" s="16" t="s">
        <v>20</v>
      </c>
      <c r="AH11">
        <f>CORREL(V:V,U:U)</f>
        <v>0.956608686980154</v>
      </c>
      <c r="AI11" s="20"/>
    </row>
    <row r="12" spans="1:35" x14ac:dyDescent="0.3">
      <c r="A12" t="s">
        <v>34</v>
      </c>
      <c r="B12">
        <v>2021</v>
      </c>
      <c r="C12" t="s">
        <v>45</v>
      </c>
      <c r="D12">
        <v>148.19999999999999</v>
      </c>
      <c r="E12">
        <v>201.6</v>
      </c>
      <c r="F12">
        <v>173</v>
      </c>
      <c r="G12">
        <v>159.30000000000001</v>
      </c>
      <c r="H12">
        <v>190.1</v>
      </c>
      <c r="I12">
        <v>156.5</v>
      </c>
      <c r="J12">
        <v>199.2</v>
      </c>
      <c r="K12">
        <v>165.3</v>
      </c>
      <c r="L12">
        <v>122.4</v>
      </c>
      <c r="M12">
        <v>169.6</v>
      </c>
      <c r="N12">
        <v>163.69999999999999</v>
      </c>
      <c r="O12">
        <v>175.5</v>
      </c>
      <c r="P12">
        <v>169.7</v>
      </c>
      <c r="Q12">
        <v>192.9</v>
      </c>
      <c r="R12">
        <v>167.2</v>
      </c>
      <c r="S12">
        <v>157.4</v>
      </c>
      <c r="T12">
        <v>165.8</v>
      </c>
      <c r="U12">
        <v>164.2</v>
      </c>
      <c r="V12">
        <v>163.9</v>
      </c>
      <c r="W12">
        <v>159.30000000000001</v>
      </c>
      <c r="X12">
        <v>169.9</v>
      </c>
      <c r="Y12">
        <v>154.80000000000001</v>
      </c>
      <c r="Z12">
        <v>159.80000000000001</v>
      </c>
      <c r="AA12">
        <v>164.3</v>
      </c>
      <c r="AB12">
        <v>162.19999999999999</v>
      </c>
      <c r="AC12">
        <v>161.4</v>
      </c>
      <c r="AD12">
        <v>166.7</v>
      </c>
      <c r="AF12" s="16" t="s">
        <v>19</v>
      </c>
      <c r="AH12">
        <f>CORREL(V:V,T:T)</f>
        <v>0.98562185435623184</v>
      </c>
      <c r="AI12" s="20"/>
    </row>
    <row r="13" spans="1:35" x14ac:dyDescent="0.3">
      <c r="A13" t="s">
        <v>34</v>
      </c>
      <c r="B13">
        <v>2021</v>
      </c>
      <c r="C13" t="s">
        <v>46</v>
      </c>
      <c r="D13">
        <v>148.69999999999999</v>
      </c>
      <c r="E13">
        <v>198.8</v>
      </c>
      <c r="F13">
        <v>177.9</v>
      </c>
      <c r="G13">
        <v>159.9</v>
      </c>
      <c r="H13">
        <v>187.6</v>
      </c>
      <c r="I13">
        <v>154.9</v>
      </c>
      <c r="J13">
        <v>188.3</v>
      </c>
      <c r="K13">
        <v>164.4</v>
      </c>
      <c r="L13">
        <v>121</v>
      </c>
      <c r="M13">
        <v>170.5</v>
      </c>
      <c r="N13">
        <v>164.2</v>
      </c>
      <c r="O13">
        <v>176.5</v>
      </c>
      <c r="P13">
        <v>168.2</v>
      </c>
      <c r="Q13">
        <v>192.4</v>
      </c>
      <c r="R13">
        <v>168.5</v>
      </c>
      <c r="S13">
        <v>158.69999999999999</v>
      </c>
      <c r="T13">
        <v>167</v>
      </c>
      <c r="U13">
        <v>163.4</v>
      </c>
      <c r="V13">
        <v>164.1</v>
      </c>
      <c r="W13">
        <v>160.19999999999999</v>
      </c>
      <c r="X13">
        <v>170.6</v>
      </c>
      <c r="Y13">
        <v>155.69999999999999</v>
      </c>
      <c r="Z13">
        <v>160.6</v>
      </c>
      <c r="AA13">
        <v>164.4</v>
      </c>
      <c r="AB13">
        <v>162.6</v>
      </c>
      <c r="AC13">
        <v>162</v>
      </c>
      <c r="AD13">
        <v>166.2</v>
      </c>
      <c r="AF13" s="16" t="s">
        <v>18</v>
      </c>
      <c r="AH13">
        <f>CORREL(V:V,S:S)</f>
        <v>0.98708804417289042</v>
      </c>
      <c r="AI13" s="20"/>
    </row>
    <row r="14" spans="1:35" x14ac:dyDescent="0.3">
      <c r="A14" t="s">
        <v>34</v>
      </c>
      <c r="B14">
        <v>2022</v>
      </c>
      <c r="C14" t="s">
        <v>31</v>
      </c>
      <c r="D14">
        <v>149.5</v>
      </c>
      <c r="E14">
        <v>198.7</v>
      </c>
      <c r="F14">
        <v>178.8</v>
      </c>
      <c r="G14">
        <v>160.5</v>
      </c>
      <c r="H14">
        <v>184.7</v>
      </c>
      <c r="I14">
        <v>153.69999999999999</v>
      </c>
      <c r="J14">
        <v>174.3</v>
      </c>
      <c r="K14">
        <v>163.9</v>
      </c>
      <c r="L14">
        <v>120</v>
      </c>
      <c r="M14">
        <v>172.1</v>
      </c>
      <c r="N14">
        <v>164.3</v>
      </c>
      <c r="O14">
        <v>177.3</v>
      </c>
      <c r="P14">
        <v>166.4</v>
      </c>
      <c r="Q14">
        <v>192.2</v>
      </c>
      <c r="R14">
        <v>169.9</v>
      </c>
      <c r="S14">
        <v>160.69999999999999</v>
      </c>
      <c r="T14">
        <v>168.5</v>
      </c>
      <c r="U14">
        <v>164.5</v>
      </c>
      <c r="V14">
        <v>164.2</v>
      </c>
      <c r="W14">
        <v>161.1</v>
      </c>
      <c r="X14">
        <v>171.4</v>
      </c>
      <c r="Y14">
        <v>156.5</v>
      </c>
      <c r="Z14">
        <v>161.19999999999999</v>
      </c>
      <c r="AA14">
        <v>164.7</v>
      </c>
      <c r="AB14">
        <v>163</v>
      </c>
      <c r="AC14">
        <v>162.69999999999999</v>
      </c>
      <c r="AD14">
        <v>165.7</v>
      </c>
      <c r="AF14" s="16" t="s">
        <v>17</v>
      </c>
      <c r="AH14">
        <f>CORREL(V:V,R:R)</f>
        <v>0.98511497592725472</v>
      </c>
      <c r="AI14" s="20"/>
    </row>
    <row r="15" spans="1:35" x14ac:dyDescent="0.3">
      <c r="A15" t="s">
        <v>34</v>
      </c>
      <c r="B15">
        <v>2022</v>
      </c>
      <c r="C15" t="s">
        <v>35</v>
      </c>
      <c r="D15">
        <v>150</v>
      </c>
      <c r="E15">
        <v>200.6</v>
      </c>
      <c r="F15">
        <v>175.8</v>
      </c>
      <c r="G15">
        <v>160.69999999999999</v>
      </c>
      <c r="H15">
        <v>184.9</v>
      </c>
      <c r="I15">
        <v>153.69999999999999</v>
      </c>
      <c r="J15">
        <v>169.7</v>
      </c>
      <c r="K15">
        <v>163.69999999999999</v>
      </c>
      <c r="L15">
        <v>118.9</v>
      </c>
      <c r="M15">
        <v>174.3</v>
      </c>
      <c r="N15">
        <v>164.7</v>
      </c>
      <c r="O15">
        <v>178</v>
      </c>
      <c r="P15">
        <v>166.2</v>
      </c>
      <c r="Q15">
        <v>192.8</v>
      </c>
      <c r="R15">
        <v>170.8</v>
      </c>
      <c r="S15">
        <v>162.4</v>
      </c>
      <c r="T15">
        <v>169.6</v>
      </c>
      <c r="U15">
        <v>165.5</v>
      </c>
      <c r="V15">
        <v>165.7</v>
      </c>
      <c r="W15">
        <v>161.80000000000001</v>
      </c>
      <c r="X15">
        <v>172.2</v>
      </c>
      <c r="Y15">
        <v>156.9</v>
      </c>
      <c r="Z15">
        <v>162.1</v>
      </c>
      <c r="AA15">
        <v>165.4</v>
      </c>
      <c r="AB15">
        <v>164.4</v>
      </c>
      <c r="AC15">
        <v>163.5</v>
      </c>
      <c r="AD15">
        <v>166.1</v>
      </c>
      <c r="AF15" s="16" t="s">
        <v>16</v>
      </c>
      <c r="AH15">
        <f>CORREL(V:V,Q:Q)</f>
        <v>0.93979244095169767</v>
      </c>
      <c r="AI15" s="20"/>
    </row>
    <row r="16" spans="1:35" x14ac:dyDescent="0.3">
      <c r="A16" t="s">
        <v>34</v>
      </c>
      <c r="B16">
        <v>2022</v>
      </c>
      <c r="C16" t="s">
        <v>36</v>
      </c>
      <c r="D16">
        <v>151.30000000000001</v>
      </c>
      <c r="E16">
        <v>210.7</v>
      </c>
      <c r="F16">
        <v>167.8</v>
      </c>
      <c r="G16">
        <v>162.19999999999999</v>
      </c>
      <c r="H16">
        <v>194.6</v>
      </c>
      <c r="I16">
        <v>157.6</v>
      </c>
      <c r="J16">
        <v>166.9</v>
      </c>
      <c r="K16">
        <v>163.9</v>
      </c>
      <c r="L16">
        <v>118.8</v>
      </c>
      <c r="M16">
        <v>177.4</v>
      </c>
      <c r="N16">
        <v>165.3</v>
      </c>
      <c r="O16">
        <v>179.3</v>
      </c>
      <c r="P16">
        <v>168.4</v>
      </c>
      <c r="Q16">
        <v>193.7</v>
      </c>
      <c r="R16">
        <v>172.1</v>
      </c>
      <c r="S16">
        <v>164.6</v>
      </c>
      <c r="T16">
        <v>171.1</v>
      </c>
      <c r="U16">
        <v>165.3</v>
      </c>
      <c r="V16">
        <v>167.2</v>
      </c>
      <c r="W16">
        <v>162.80000000000001</v>
      </c>
      <c r="X16">
        <v>173</v>
      </c>
      <c r="Y16">
        <v>157.9</v>
      </c>
      <c r="Z16">
        <v>163.30000000000001</v>
      </c>
      <c r="AA16">
        <v>166</v>
      </c>
      <c r="AB16">
        <v>167.2</v>
      </c>
      <c r="AC16">
        <v>164.6</v>
      </c>
      <c r="AD16">
        <v>167.7</v>
      </c>
      <c r="AF16" s="16" t="s">
        <v>15</v>
      </c>
      <c r="AH16">
        <f>CORREL(V:V,P:P)</f>
        <v>0.96457248908931958</v>
      </c>
      <c r="AI16" s="20"/>
    </row>
    <row r="17" spans="1:35" x14ac:dyDescent="0.3">
      <c r="A17" t="s">
        <v>34</v>
      </c>
      <c r="B17">
        <v>2022</v>
      </c>
      <c r="C17" t="s">
        <v>37</v>
      </c>
      <c r="D17">
        <v>152.9</v>
      </c>
      <c r="E17">
        <v>211.8</v>
      </c>
      <c r="F17">
        <v>164.5</v>
      </c>
      <c r="G17">
        <v>163.9</v>
      </c>
      <c r="H17">
        <v>199.5</v>
      </c>
      <c r="I17">
        <v>172.6</v>
      </c>
      <c r="J17">
        <v>166.2</v>
      </c>
      <c r="K17">
        <v>164.7</v>
      </c>
      <c r="L17">
        <v>119</v>
      </c>
      <c r="M17">
        <v>181.3</v>
      </c>
      <c r="N17">
        <v>166.2</v>
      </c>
      <c r="O17">
        <v>180.9</v>
      </c>
      <c r="P17">
        <v>170.8</v>
      </c>
      <c r="Q17">
        <v>193.9</v>
      </c>
      <c r="R17">
        <v>173.9</v>
      </c>
      <c r="S17">
        <v>166.5</v>
      </c>
      <c r="T17">
        <v>172.8</v>
      </c>
      <c r="U17">
        <v>167</v>
      </c>
      <c r="V17">
        <v>172.2</v>
      </c>
      <c r="W17">
        <v>164</v>
      </c>
      <c r="X17">
        <v>174</v>
      </c>
      <c r="Y17">
        <v>162.6</v>
      </c>
      <c r="Z17">
        <v>164.4</v>
      </c>
      <c r="AA17">
        <v>166.9</v>
      </c>
      <c r="AB17">
        <v>168.8</v>
      </c>
      <c r="AC17">
        <v>166.8</v>
      </c>
      <c r="AD17">
        <v>170.1</v>
      </c>
      <c r="AF17" s="16" t="s">
        <v>14</v>
      </c>
      <c r="AH17">
        <f>CORREL(V:V,O:O)</f>
        <v>0.98227979087392592</v>
      </c>
      <c r="AI17" s="20"/>
    </row>
    <row r="18" spans="1:35" x14ac:dyDescent="0.3">
      <c r="A18" t="s">
        <v>34</v>
      </c>
      <c r="B18">
        <v>2022</v>
      </c>
      <c r="C18" t="s">
        <v>38</v>
      </c>
      <c r="D18">
        <v>154.1</v>
      </c>
      <c r="E18">
        <v>217</v>
      </c>
      <c r="F18">
        <v>162.4</v>
      </c>
      <c r="G18">
        <v>164.9</v>
      </c>
      <c r="H18">
        <v>202.4</v>
      </c>
      <c r="I18">
        <v>171</v>
      </c>
      <c r="J18">
        <v>174.9</v>
      </c>
      <c r="K18">
        <v>164.7</v>
      </c>
      <c r="L18">
        <v>119.7</v>
      </c>
      <c r="M18">
        <v>184.9</v>
      </c>
      <c r="N18">
        <v>167.1</v>
      </c>
      <c r="O18">
        <v>182.5</v>
      </c>
      <c r="P18">
        <v>173.3</v>
      </c>
      <c r="Q18">
        <v>194.1</v>
      </c>
      <c r="R18">
        <v>175.6</v>
      </c>
      <c r="S18">
        <v>168.4</v>
      </c>
      <c r="T18">
        <v>174.6</v>
      </c>
      <c r="U18">
        <v>167.5</v>
      </c>
      <c r="V18">
        <v>174.6</v>
      </c>
      <c r="W18">
        <v>165.2</v>
      </c>
      <c r="X18">
        <v>174.8</v>
      </c>
      <c r="Y18">
        <v>163</v>
      </c>
      <c r="Z18">
        <v>165.1</v>
      </c>
      <c r="AA18">
        <v>167.9</v>
      </c>
      <c r="AB18">
        <v>168.4</v>
      </c>
      <c r="AC18">
        <v>167.5</v>
      </c>
      <c r="AD18">
        <v>171.7</v>
      </c>
      <c r="AF18" s="16" t="s">
        <v>13</v>
      </c>
      <c r="AH18">
        <f>CORREL(V:V,N:N)</f>
        <v>0.97878577086812479</v>
      </c>
      <c r="AI18" s="20"/>
    </row>
    <row r="19" spans="1:35" x14ac:dyDescent="0.3">
      <c r="A19" t="s">
        <v>34</v>
      </c>
      <c r="B19">
        <v>2022</v>
      </c>
      <c r="C19" t="s">
        <v>39</v>
      </c>
      <c r="D19">
        <v>155</v>
      </c>
      <c r="E19">
        <v>219.4</v>
      </c>
      <c r="F19">
        <v>170.8</v>
      </c>
      <c r="G19">
        <v>165.8</v>
      </c>
      <c r="H19">
        <v>200.9</v>
      </c>
      <c r="I19">
        <v>169.7</v>
      </c>
      <c r="J19">
        <v>182.3</v>
      </c>
      <c r="K19">
        <v>164.3</v>
      </c>
      <c r="L19">
        <v>119.9</v>
      </c>
      <c r="M19">
        <v>187.1</v>
      </c>
      <c r="N19">
        <v>167.9</v>
      </c>
      <c r="O19">
        <v>183.9</v>
      </c>
      <c r="P19">
        <v>174.9</v>
      </c>
      <c r="Q19">
        <v>194.3</v>
      </c>
      <c r="R19">
        <v>177.1</v>
      </c>
      <c r="S19">
        <v>169.9</v>
      </c>
      <c r="T19">
        <v>176</v>
      </c>
      <c r="U19">
        <v>166.8</v>
      </c>
      <c r="V19">
        <v>176</v>
      </c>
      <c r="W19">
        <v>166.4</v>
      </c>
      <c r="X19">
        <v>175.4</v>
      </c>
      <c r="Y19">
        <v>161.1</v>
      </c>
      <c r="Z19">
        <v>165.8</v>
      </c>
      <c r="AA19">
        <v>169</v>
      </c>
      <c r="AB19">
        <v>169.4</v>
      </c>
      <c r="AC19">
        <v>167.5</v>
      </c>
      <c r="AD19">
        <v>172.6</v>
      </c>
      <c r="AF19" s="16" t="s">
        <v>12</v>
      </c>
      <c r="AH19">
        <f>CORREL(V:V,M:M)</f>
        <v>0.93896615084544477</v>
      </c>
      <c r="AI19" s="20"/>
    </row>
    <row r="20" spans="1:35" x14ac:dyDescent="0.3">
      <c r="A20" t="s">
        <v>34</v>
      </c>
      <c r="B20">
        <v>2022</v>
      </c>
      <c r="C20" t="s">
        <v>40</v>
      </c>
      <c r="D20">
        <v>156.5</v>
      </c>
      <c r="E20">
        <v>213</v>
      </c>
      <c r="F20">
        <v>175.2</v>
      </c>
      <c r="G20">
        <v>166.6</v>
      </c>
      <c r="H20">
        <v>195.8</v>
      </c>
      <c r="I20">
        <v>174.2</v>
      </c>
      <c r="J20">
        <v>182.1</v>
      </c>
      <c r="K20">
        <v>164.3</v>
      </c>
      <c r="L20">
        <v>120</v>
      </c>
      <c r="M20">
        <v>190</v>
      </c>
      <c r="N20">
        <v>168.4</v>
      </c>
      <c r="O20">
        <v>185.2</v>
      </c>
      <c r="P20">
        <v>175</v>
      </c>
      <c r="Q20">
        <v>194.6</v>
      </c>
      <c r="R20">
        <v>178.3</v>
      </c>
      <c r="S20">
        <v>171.3</v>
      </c>
      <c r="T20">
        <v>177.3</v>
      </c>
      <c r="U20">
        <v>167.8</v>
      </c>
      <c r="V20">
        <v>179.6</v>
      </c>
      <c r="W20">
        <v>167.4</v>
      </c>
      <c r="X20">
        <v>176.1</v>
      </c>
      <c r="Y20">
        <v>161.6</v>
      </c>
      <c r="Z20">
        <v>166.3</v>
      </c>
      <c r="AA20">
        <v>171.4</v>
      </c>
      <c r="AB20">
        <v>169.7</v>
      </c>
      <c r="AC20">
        <v>168.4</v>
      </c>
      <c r="AD20">
        <v>173.4</v>
      </c>
      <c r="AF20" s="16" t="s">
        <v>11</v>
      </c>
      <c r="AH20">
        <f>CORREL(V:V,L:L)</f>
        <v>0.77078710371910275</v>
      </c>
      <c r="AI20" s="20"/>
    </row>
    <row r="21" spans="1:35" x14ac:dyDescent="0.3">
      <c r="A21" t="s">
        <v>34</v>
      </c>
      <c r="B21">
        <v>2022</v>
      </c>
      <c r="C21" t="s">
        <v>41</v>
      </c>
      <c r="D21">
        <v>160.30000000000001</v>
      </c>
      <c r="E21">
        <v>206.5</v>
      </c>
      <c r="F21">
        <v>169.2</v>
      </c>
      <c r="G21">
        <v>168.1</v>
      </c>
      <c r="H21">
        <v>192.4</v>
      </c>
      <c r="I21">
        <v>172.9</v>
      </c>
      <c r="J21">
        <v>186.7</v>
      </c>
      <c r="K21">
        <v>167.2</v>
      </c>
      <c r="L21">
        <v>120.9</v>
      </c>
      <c r="M21">
        <v>193.6</v>
      </c>
      <c r="N21">
        <v>168.8</v>
      </c>
      <c r="O21">
        <v>186.3</v>
      </c>
      <c r="P21">
        <v>176.3</v>
      </c>
      <c r="Q21">
        <v>195</v>
      </c>
      <c r="R21">
        <v>179.5</v>
      </c>
      <c r="S21">
        <v>172.7</v>
      </c>
      <c r="T21">
        <v>178.5</v>
      </c>
      <c r="U21">
        <v>169</v>
      </c>
      <c r="V21">
        <v>178.8</v>
      </c>
      <c r="W21">
        <v>168.5</v>
      </c>
      <c r="X21">
        <v>176.8</v>
      </c>
      <c r="Y21">
        <v>161.9</v>
      </c>
      <c r="Z21">
        <v>166.9</v>
      </c>
      <c r="AA21">
        <v>172.3</v>
      </c>
      <c r="AB21">
        <v>171.2</v>
      </c>
      <c r="AC21">
        <v>169.1</v>
      </c>
      <c r="AD21">
        <v>174.3</v>
      </c>
      <c r="AF21" s="16" t="s">
        <v>10</v>
      </c>
      <c r="AH21">
        <f>CORREL(V:V,K:K)</f>
        <v>0.84989929800426356</v>
      </c>
      <c r="AI21" s="20"/>
    </row>
    <row r="22" spans="1:35" x14ac:dyDescent="0.3">
      <c r="A22" t="s">
        <v>34</v>
      </c>
      <c r="B22">
        <v>2022</v>
      </c>
      <c r="C22" t="s">
        <v>42</v>
      </c>
      <c r="D22">
        <v>163.5</v>
      </c>
      <c r="E22">
        <v>209.2</v>
      </c>
      <c r="F22">
        <v>169.7</v>
      </c>
      <c r="G22">
        <v>169.7</v>
      </c>
      <c r="H22">
        <v>188.7</v>
      </c>
      <c r="I22">
        <v>165.7</v>
      </c>
      <c r="J22">
        <v>191.8</v>
      </c>
      <c r="K22">
        <v>169.1</v>
      </c>
      <c r="L22">
        <v>121.6</v>
      </c>
      <c r="M22">
        <v>197.3</v>
      </c>
      <c r="N22">
        <v>169.4</v>
      </c>
      <c r="O22">
        <v>187.4</v>
      </c>
      <c r="P22">
        <v>177.8</v>
      </c>
      <c r="Q22">
        <v>195.9</v>
      </c>
      <c r="R22">
        <v>180.9</v>
      </c>
      <c r="S22">
        <v>174.3</v>
      </c>
      <c r="T22">
        <v>179.9</v>
      </c>
      <c r="U22">
        <v>169.5</v>
      </c>
      <c r="V22">
        <v>179.5</v>
      </c>
      <c r="W22">
        <v>169.5</v>
      </c>
      <c r="X22">
        <v>177.8</v>
      </c>
      <c r="Y22">
        <v>162.30000000000001</v>
      </c>
      <c r="Z22">
        <v>167.6</v>
      </c>
      <c r="AA22">
        <v>173.1</v>
      </c>
      <c r="AB22">
        <v>170.9</v>
      </c>
      <c r="AC22">
        <v>169.7</v>
      </c>
      <c r="AD22">
        <v>175.3</v>
      </c>
      <c r="AF22" s="16" t="s">
        <v>9</v>
      </c>
      <c r="AH22">
        <f>CORREL(V:V,J:J)</f>
        <v>9.6863147322166804E-2</v>
      </c>
      <c r="AI22" s="20"/>
    </row>
    <row r="23" spans="1:35" x14ac:dyDescent="0.3">
      <c r="A23" t="s">
        <v>34</v>
      </c>
      <c r="B23">
        <v>2022</v>
      </c>
      <c r="C23" t="s">
        <v>43</v>
      </c>
      <c r="D23">
        <v>165.2</v>
      </c>
      <c r="E23">
        <v>210.9</v>
      </c>
      <c r="F23">
        <v>170.9</v>
      </c>
      <c r="G23">
        <v>170.9</v>
      </c>
      <c r="H23">
        <v>186.5</v>
      </c>
      <c r="I23">
        <v>163.80000000000001</v>
      </c>
      <c r="J23">
        <v>199.7</v>
      </c>
      <c r="K23">
        <v>169.8</v>
      </c>
      <c r="L23">
        <v>121.9</v>
      </c>
      <c r="M23">
        <v>199.9</v>
      </c>
      <c r="N23">
        <v>169.9</v>
      </c>
      <c r="O23">
        <v>188.3</v>
      </c>
      <c r="P23">
        <v>179.6</v>
      </c>
      <c r="Q23">
        <v>196.3</v>
      </c>
      <c r="R23">
        <v>181.9</v>
      </c>
      <c r="S23">
        <v>175.3</v>
      </c>
      <c r="T23">
        <v>181</v>
      </c>
      <c r="U23">
        <v>171.2</v>
      </c>
      <c r="V23">
        <v>180.5</v>
      </c>
      <c r="W23">
        <v>170.4</v>
      </c>
      <c r="X23">
        <v>178.7</v>
      </c>
      <c r="Y23">
        <v>162.9</v>
      </c>
      <c r="Z23">
        <v>168.2</v>
      </c>
      <c r="AA23">
        <v>173.4</v>
      </c>
      <c r="AB23">
        <v>172.1</v>
      </c>
      <c r="AC23">
        <v>170.5</v>
      </c>
      <c r="AD23">
        <v>176.7</v>
      </c>
      <c r="AF23" s="16" t="s">
        <v>8</v>
      </c>
      <c r="AH23">
        <f>CORREL(V:V,I:I)</f>
        <v>0.63933552547578754</v>
      </c>
      <c r="AI23" s="20"/>
    </row>
    <row r="24" spans="1:35" x14ac:dyDescent="0.3">
      <c r="A24" t="s">
        <v>34</v>
      </c>
      <c r="B24">
        <v>2022</v>
      </c>
      <c r="C24" t="s">
        <v>45</v>
      </c>
      <c r="D24">
        <v>167.4</v>
      </c>
      <c r="E24">
        <v>209.4</v>
      </c>
      <c r="F24">
        <v>181.4</v>
      </c>
      <c r="G24">
        <v>172.3</v>
      </c>
      <c r="H24">
        <v>188.9</v>
      </c>
      <c r="I24">
        <v>160.69999999999999</v>
      </c>
      <c r="J24">
        <v>183.1</v>
      </c>
      <c r="K24">
        <v>170.5</v>
      </c>
      <c r="L24">
        <v>122.1</v>
      </c>
      <c r="M24">
        <v>202.8</v>
      </c>
      <c r="N24">
        <v>170.4</v>
      </c>
      <c r="O24">
        <v>189.5</v>
      </c>
      <c r="P24">
        <v>178.3</v>
      </c>
      <c r="Q24">
        <v>196.9</v>
      </c>
      <c r="R24">
        <v>183.1</v>
      </c>
      <c r="S24">
        <v>176.2</v>
      </c>
      <c r="T24">
        <v>182.1</v>
      </c>
      <c r="U24">
        <v>171.8</v>
      </c>
      <c r="V24">
        <v>181.3</v>
      </c>
      <c r="W24">
        <v>171.4</v>
      </c>
      <c r="X24">
        <v>179.8</v>
      </c>
      <c r="Y24">
        <v>163</v>
      </c>
      <c r="Z24">
        <v>168.5</v>
      </c>
      <c r="AA24">
        <v>173.7</v>
      </c>
      <c r="AB24">
        <v>173.6</v>
      </c>
      <c r="AC24">
        <v>171.1</v>
      </c>
      <c r="AD24">
        <v>176.5</v>
      </c>
      <c r="AF24" s="16" t="s">
        <v>7</v>
      </c>
      <c r="AH24">
        <f>CORREL(V:V,H:H)</f>
        <v>0.48930201421046005</v>
      </c>
      <c r="AI24" s="20"/>
    </row>
    <row r="25" spans="1:35" x14ac:dyDescent="0.3">
      <c r="A25" t="s">
        <v>34</v>
      </c>
      <c r="B25">
        <v>2022</v>
      </c>
      <c r="C25" t="s">
        <v>46</v>
      </c>
      <c r="D25">
        <v>169.2</v>
      </c>
      <c r="E25">
        <v>209</v>
      </c>
      <c r="F25">
        <v>190.2</v>
      </c>
      <c r="G25">
        <v>173.6</v>
      </c>
      <c r="H25">
        <v>188.5</v>
      </c>
      <c r="I25">
        <v>158</v>
      </c>
      <c r="J25">
        <v>159.9</v>
      </c>
      <c r="K25">
        <v>170.8</v>
      </c>
      <c r="L25">
        <v>121.8</v>
      </c>
      <c r="M25">
        <v>205.2</v>
      </c>
      <c r="N25">
        <v>171</v>
      </c>
      <c r="O25">
        <v>190.3</v>
      </c>
      <c r="P25">
        <v>175.9</v>
      </c>
      <c r="Q25">
        <v>197.3</v>
      </c>
      <c r="R25">
        <v>184</v>
      </c>
      <c r="S25">
        <v>177</v>
      </c>
      <c r="T25">
        <v>183</v>
      </c>
      <c r="U25">
        <v>170.7</v>
      </c>
      <c r="V25">
        <v>182</v>
      </c>
      <c r="W25">
        <v>172.1</v>
      </c>
      <c r="X25">
        <v>181.1</v>
      </c>
      <c r="Y25">
        <v>163.4</v>
      </c>
      <c r="Z25">
        <v>168.9</v>
      </c>
      <c r="AA25">
        <v>174.1</v>
      </c>
      <c r="AB25">
        <v>175.8</v>
      </c>
      <c r="AC25">
        <v>172</v>
      </c>
      <c r="AD25">
        <v>175.7</v>
      </c>
      <c r="AF25" s="16" t="s">
        <v>6</v>
      </c>
      <c r="AH25">
        <f>CORREL(V:V,G:G)</f>
        <v>0.94294073307985671</v>
      </c>
      <c r="AI25" s="20"/>
    </row>
    <row r="26" spans="1:35" x14ac:dyDescent="0.3">
      <c r="A26" t="s">
        <v>34</v>
      </c>
      <c r="B26">
        <v>2023</v>
      </c>
      <c r="C26" t="s">
        <v>31</v>
      </c>
      <c r="D26">
        <v>173.8</v>
      </c>
      <c r="E26">
        <v>210.7</v>
      </c>
      <c r="F26">
        <v>194.5</v>
      </c>
      <c r="G26">
        <v>174.6</v>
      </c>
      <c r="H26">
        <v>187.2</v>
      </c>
      <c r="I26">
        <v>158.30000000000001</v>
      </c>
      <c r="J26">
        <v>153.9</v>
      </c>
      <c r="K26">
        <v>170.9</v>
      </c>
      <c r="L26">
        <v>121.1</v>
      </c>
      <c r="M26">
        <v>208.4</v>
      </c>
      <c r="N26">
        <v>171.4</v>
      </c>
      <c r="O26">
        <v>191.2</v>
      </c>
      <c r="P26">
        <v>176.7</v>
      </c>
      <c r="Q26">
        <v>198.2</v>
      </c>
      <c r="R26">
        <v>184.9</v>
      </c>
      <c r="S26">
        <v>177.6</v>
      </c>
      <c r="T26">
        <v>183.8</v>
      </c>
      <c r="U26">
        <v>172.1</v>
      </c>
      <c r="V26">
        <v>182</v>
      </c>
      <c r="W26">
        <v>172.9</v>
      </c>
      <c r="X26">
        <v>182.3</v>
      </c>
      <c r="Y26">
        <v>163.6</v>
      </c>
      <c r="Z26">
        <v>169.5</v>
      </c>
      <c r="AA26">
        <v>174.3</v>
      </c>
      <c r="AB26">
        <v>178.6</v>
      </c>
      <c r="AC26">
        <v>172.8</v>
      </c>
      <c r="AD26">
        <v>176.5</v>
      </c>
      <c r="AF26" s="16" t="s">
        <v>5</v>
      </c>
      <c r="AH26">
        <f>CORREL(V:V,F:F)</f>
        <v>0.24307342696775963</v>
      </c>
      <c r="AI26" s="20"/>
    </row>
    <row r="27" spans="1:35" x14ac:dyDescent="0.3">
      <c r="A27" t="s">
        <v>34</v>
      </c>
      <c r="B27">
        <v>2023</v>
      </c>
      <c r="C27" t="s">
        <v>35</v>
      </c>
      <c r="D27">
        <v>174.4</v>
      </c>
      <c r="E27">
        <v>207.7</v>
      </c>
      <c r="F27">
        <v>175.2</v>
      </c>
      <c r="G27">
        <v>177.3</v>
      </c>
      <c r="H27">
        <v>179.3</v>
      </c>
      <c r="I27">
        <v>169.5</v>
      </c>
      <c r="J27">
        <v>152.69999999999999</v>
      </c>
      <c r="K27">
        <v>171</v>
      </c>
      <c r="L27">
        <v>120</v>
      </c>
      <c r="M27">
        <v>209.7</v>
      </c>
      <c r="N27">
        <v>172.3</v>
      </c>
      <c r="O27">
        <v>193</v>
      </c>
      <c r="P27">
        <v>177</v>
      </c>
      <c r="Q27">
        <v>199.5</v>
      </c>
      <c r="R27">
        <v>186.2</v>
      </c>
      <c r="S27">
        <v>178.7</v>
      </c>
      <c r="T27">
        <v>185.1</v>
      </c>
      <c r="U27">
        <v>173.5</v>
      </c>
      <c r="V27">
        <v>182.1</v>
      </c>
      <c r="W27">
        <v>174.2</v>
      </c>
      <c r="X27">
        <v>184.4</v>
      </c>
      <c r="Y27">
        <v>164.2</v>
      </c>
      <c r="Z27">
        <v>170.3</v>
      </c>
      <c r="AA27">
        <v>175</v>
      </c>
      <c r="AB27">
        <v>181</v>
      </c>
      <c r="AC27">
        <v>174.1</v>
      </c>
      <c r="AD27">
        <v>177.2</v>
      </c>
      <c r="AF27" s="16" t="s">
        <v>4</v>
      </c>
      <c r="AH27">
        <f>CORREL(V:V,E:E)</f>
        <v>0.80888750794374131</v>
      </c>
      <c r="AI27" s="20"/>
    </row>
    <row r="28" spans="1:35" x14ac:dyDescent="0.3">
      <c r="A28" t="s">
        <v>34</v>
      </c>
      <c r="B28">
        <v>2023</v>
      </c>
      <c r="C28" t="s">
        <v>36</v>
      </c>
      <c r="D28">
        <v>174.4</v>
      </c>
      <c r="E28">
        <v>207.7</v>
      </c>
      <c r="F28">
        <v>175.2</v>
      </c>
      <c r="G28">
        <v>177.3</v>
      </c>
      <c r="H28">
        <v>179.2</v>
      </c>
      <c r="I28">
        <v>169.5</v>
      </c>
      <c r="J28">
        <v>152.80000000000001</v>
      </c>
      <c r="K28">
        <v>171.1</v>
      </c>
      <c r="L28">
        <v>120</v>
      </c>
      <c r="M28">
        <v>209.7</v>
      </c>
      <c r="N28">
        <v>172.3</v>
      </c>
      <c r="O28">
        <v>193</v>
      </c>
      <c r="P28">
        <v>177</v>
      </c>
      <c r="Q28">
        <v>199.5</v>
      </c>
      <c r="R28">
        <v>186.1</v>
      </c>
      <c r="S28">
        <v>178.7</v>
      </c>
      <c r="T28">
        <v>185.1</v>
      </c>
      <c r="U28">
        <v>173.5</v>
      </c>
      <c r="V28">
        <v>181.9</v>
      </c>
      <c r="W28">
        <v>174.2</v>
      </c>
      <c r="X28">
        <v>184.4</v>
      </c>
      <c r="Y28">
        <v>164.2</v>
      </c>
      <c r="Z28">
        <v>170.3</v>
      </c>
      <c r="AA28">
        <v>175</v>
      </c>
      <c r="AB28">
        <v>181</v>
      </c>
      <c r="AC28">
        <v>174.1</v>
      </c>
      <c r="AD28">
        <v>177.2</v>
      </c>
      <c r="AF28" s="17" t="s">
        <v>3</v>
      </c>
      <c r="AG28" s="8"/>
      <c r="AH28" s="8">
        <f>CORREL(V:V,D:D)</f>
        <v>0.90866975710010101</v>
      </c>
      <c r="AI28" s="18"/>
    </row>
    <row r="29" spans="1:35" x14ac:dyDescent="0.3">
      <c r="A29" t="s">
        <v>34</v>
      </c>
      <c r="B29">
        <v>2023</v>
      </c>
      <c r="C29" t="s">
        <v>37</v>
      </c>
      <c r="D29">
        <v>173.8</v>
      </c>
      <c r="E29">
        <v>209.3</v>
      </c>
      <c r="F29">
        <v>169.6</v>
      </c>
      <c r="G29">
        <v>178.4</v>
      </c>
      <c r="H29">
        <v>174.9</v>
      </c>
      <c r="I29">
        <v>176.3</v>
      </c>
      <c r="J29">
        <v>155.4</v>
      </c>
      <c r="K29">
        <v>173.4</v>
      </c>
      <c r="L29">
        <v>121.3</v>
      </c>
      <c r="M29">
        <v>212.9</v>
      </c>
      <c r="N29">
        <v>172.9</v>
      </c>
      <c r="O29">
        <v>193.5</v>
      </c>
      <c r="P29">
        <v>177.9</v>
      </c>
      <c r="Q29">
        <v>200.6</v>
      </c>
      <c r="R29">
        <v>186.9</v>
      </c>
      <c r="S29">
        <v>179.2</v>
      </c>
      <c r="T29">
        <v>185.7</v>
      </c>
      <c r="U29">
        <v>175.2</v>
      </c>
      <c r="V29">
        <v>181.7</v>
      </c>
      <c r="W29">
        <v>174.6</v>
      </c>
      <c r="X29">
        <v>185</v>
      </c>
      <c r="Y29">
        <v>164.5</v>
      </c>
      <c r="Z29">
        <v>170.7</v>
      </c>
      <c r="AA29">
        <v>176.4</v>
      </c>
      <c r="AB29">
        <v>184</v>
      </c>
      <c r="AC29">
        <v>175</v>
      </c>
      <c r="AD29">
        <v>178.1</v>
      </c>
    </row>
    <row r="30" spans="1:35" x14ac:dyDescent="0.3">
      <c r="A30" t="s">
        <v>34</v>
      </c>
      <c r="B30">
        <v>2023</v>
      </c>
      <c r="C30" t="s">
        <v>38</v>
      </c>
      <c r="D30">
        <v>173.7</v>
      </c>
      <c r="E30">
        <v>214.3</v>
      </c>
      <c r="F30">
        <v>173.2</v>
      </c>
      <c r="G30">
        <v>179.5</v>
      </c>
      <c r="H30">
        <v>170</v>
      </c>
      <c r="I30">
        <v>172.2</v>
      </c>
      <c r="J30">
        <v>161</v>
      </c>
      <c r="K30">
        <v>175.6</v>
      </c>
      <c r="L30">
        <v>122.7</v>
      </c>
      <c r="M30">
        <v>218</v>
      </c>
      <c r="N30">
        <v>173.4</v>
      </c>
      <c r="O30">
        <v>194.2</v>
      </c>
      <c r="P30">
        <v>179.1</v>
      </c>
      <c r="Q30">
        <v>201</v>
      </c>
      <c r="R30">
        <v>187.3</v>
      </c>
      <c r="S30">
        <v>179.7</v>
      </c>
      <c r="T30">
        <v>186.2</v>
      </c>
      <c r="U30">
        <v>175.6</v>
      </c>
      <c r="V30">
        <v>182.8</v>
      </c>
      <c r="W30">
        <v>175.2</v>
      </c>
      <c r="X30">
        <v>185.7</v>
      </c>
      <c r="Y30">
        <v>164.8</v>
      </c>
      <c r="Z30">
        <v>171.2</v>
      </c>
      <c r="AA30">
        <v>177.1</v>
      </c>
      <c r="AB30">
        <v>185.2</v>
      </c>
      <c r="AC30">
        <v>175.7</v>
      </c>
      <c r="AD30">
        <v>179.1</v>
      </c>
    </row>
    <row r="33" spans="28:36" x14ac:dyDescent="0.3">
      <c r="AB33" s="43" t="s">
        <v>116</v>
      </c>
      <c r="AC33" s="23" t="s">
        <v>117</v>
      </c>
      <c r="AD33" s="23"/>
      <c r="AE33" s="23"/>
      <c r="AF33" s="23"/>
      <c r="AG33" s="23"/>
      <c r="AH33" s="23"/>
      <c r="AI33" s="23"/>
      <c r="AJ33" s="24"/>
    </row>
    <row r="34" spans="28:36" x14ac:dyDescent="0.3">
      <c r="AB34" s="21" t="s">
        <v>114</v>
      </c>
      <c r="AC34" s="22"/>
      <c r="AD34" s="44" t="s">
        <v>115</v>
      </c>
      <c r="AE34" s="44"/>
      <c r="AF34" s="44"/>
      <c r="AG34" s="44"/>
      <c r="AH34" s="44"/>
      <c r="AI34" s="44"/>
      <c r="AJ34" s="45"/>
    </row>
  </sheetData>
  <conditionalFormatting sqref="AF4:AH28">
    <cfRule type="cellIs" dxfId="0" priority="1" operator="between">
      <formula>0.9</formula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47EBC-266E-4ED1-8F5B-0784F13272D6}">
  <dimension ref="A1:B27"/>
  <sheetViews>
    <sheetView workbookViewId="0">
      <selection activeCell="C27" sqref="C27"/>
    </sheetView>
  </sheetViews>
  <sheetFormatPr defaultRowHeight="14.4" x14ac:dyDescent="0.3"/>
  <cols>
    <col min="1" max="1" width="30.77734375" bestFit="1" customWidth="1"/>
    <col min="2" max="2" width="24.21875" bestFit="1" customWidth="1"/>
  </cols>
  <sheetData>
    <row r="1" spans="1:2" x14ac:dyDescent="0.3">
      <c r="A1" t="s">
        <v>56</v>
      </c>
      <c r="B1" t="s">
        <v>49</v>
      </c>
    </row>
    <row r="2" spans="1:2" x14ac:dyDescent="0.3">
      <c r="A2" t="s">
        <v>3</v>
      </c>
      <c r="B2" t="s">
        <v>50</v>
      </c>
    </row>
    <row r="3" spans="1:2" x14ac:dyDescent="0.3">
      <c r="A3" t="s">
        <v>4</v>
      </c>
      <c r="B3" t="s">
        <v>50</v>
      </c>
    </row>
    <row r="4" spans="1:2" x14ac:dyDescent="0.3">
      <c r="A4" t="s">
        <v>5</v>
      </c>
      <c r="B4" t="s">
        <v>50</v>
      </c>
    </row>
    <row r="5" spans="1:2" x14ac:dyDescent="0.3">
      <c r="A5" t="s">
        <v>6</v>
      </c>
      <c r="B5" t="s">
        <v>50</v>
      </c>
    </row>
    <row r="6" spans="1:2" x14ac:dyDescent="0.3">
      <c r="A6" t="s">
        <v>7</v>
      </c>
      <c r="B6" t="s">
        <v>50</v>
      </c>
    </row>
    <row r="7" spans="1:2" x14ac:dyDescent="0.3">
      <c r="A7" t="s">
        <v>8</v>
      </c>
      <c r="B7" t="s">
        <v>50</v>
      </c>
    </row>
    <row r="8" spans="1:2" x14ac:dyDescent="0.3">
      <c r="A8" t="s">
        <v>9</v>
      </c>
      <c r="B8" t="s">
        <v>50</v>
      </c>
    </row>
    <row r="9" spans="1:2" x14ac:dyDescent="0.3">
      <c r="A9" t="s">
        <v>10</v>
      </c>
      <c r="B9" t="s">
        <v>50</v>
      </c>
    </row>
    <row r="10" spans="1:2" x14ac:dyDescent="0.3">
      <c r="A10" t="s">
        <v>11</v>
      </c>
      <c r="B10" t="s">
        <v>50</v>
      </c>
    </row>
    <row r="11" spans="1:2" x14ac:dyDescent="0.3">
      <c r="A11" t="s">
        <v>12</v>
      </c>
      <c r="B11" t="s">
        <v>50</v>
      </c>
    </row>
    <row r="12" spans="1:2" x14ac:dyDescent="0.3">
      <c r="A12" t="s">
        <v>13</v>
      </c>
      <c r="B12" t="s">
        <v>50</v>
      </c>
    </row>
    <row r="13" spans="1:2" x14ac:dyDescent="0.3">
      <c r="A13" t="s">
        <v>14</v>
      </c>
      <c r="B13" t="s">
        <v>50</v>
      </c>
    </row>
    <row r="14" spans="1:2" x14ac:dyDescent="0.3">
      <c r="A14" t="s">
        <v>15</v>
      </c>
      <c r="B14" t="s">
        <v>50</v>
      </c>
    </row>
    <row r="15" spans="1:2" x14ac:dyDescent="0.3">
      <c r="A15" t="s">
        <v>16</v>
      </c>
      <c r="B15" t="s">
        <v>16</v>
      </c>
    </row>
    <row r="16" spans="1:2" x14ac:dyDescent="0.3">
      <c r="A16" t="s">
        <v>17</v>
      </c>
      <c r="B16" t="s">
        <v>51</v>
      </c>
    </row>
    <row r="17" spans="1:2" x14ac:dyDescent="0.3">
      <c r="A17" t="s">
        <v>18</v>
      </c>
      <c r="B17" t="s">
        <v>51</v>
      </c>
    </row>
    <row r="18" spans="1:2" x14ac:dyDescent="0.3">
      <c r="A18" t="s">
        <v>19</v>
      </c>
      <c r="B18" t="s">
        <v>51</v>
      </c>
    </row>
    <row r="19" spans="1:2" x14ac:dyDescent="0.3">
      <c r="A19" t="s">
        <v>20</v>
      </c>
      <c r="B19" t="s">
        <v>52</v>
      </c>
    </row>
    <row r="20" spans="1:2" x14ac:dyDescent="0.3">
      <c r="A20" t="s">
        <v>21</v>
      </c>
      <c r="B20" t="s">
        <v>53</v>
      </c>
    </row>
    <row r="21" spans="1:2" x14ac:dyDescent="0.3">
      <c r="A21" t="s">
        <v>22</v>
      </c>
      <c r="B21" t="s">
        <v>52</v>
      </c>
    </row>
    <row r="22" spans="1:2" x14ac:dyDescent="0.3">
      <c r="A22" t="s">
        <v>23</v>
      </c>
      <c r="B22" t="s">
        <v>23</v>
      </c>
    </row>
    <row r="23" spans="1:2" x14ac:dyDescent="0.3">
      <c r="A23" t="s">
        <v>24</v>
      </c>
      <c r="B23" t="s">
        <v>54</v>
      </c>
    </row>
    <row r="24" spans="1:2" x14ac:dyDescent="0.3">
      <c r="A24" t="s">
        <v>25</v>
      </c>
      <c r="B24" t="s">
        <v>55</v>
      </c>
    </row>
    <row r="25" spans="1:2" x14ac:dyDescent="0.3">
      <c r="A25" t="s">
        <v>26</v>
      </c>
      <c r="B25" t="s">
        <v>26</v>
      </c>
    </row>
    <row r="26" spans="1:2" x14ac:dyDescent="0.3">
      <c r="A26" t="s">
        <v>27</v>
      </c>
      <c r="B26" t="s">
        <v>55</v>
      </c>
    </row>
    <row r="27" spans="1:2" x14ac:dyDescent="0.3">
      <c r="A27" t="s">
        <v>28</v>
      </c>
      <c r="B27" t="s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A01E8-FF22-4222-AA7F-9826C036BCAF}">
  <dimension ref="A1"/>
  <sheetViews>
    <sheetView showGridLines="0" tabSelected="1" workbookViewId="0">
      <selection activeCell="J16" sqref="J1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1DB1-42A1-4394-9EE3-E8152201F772}">
  <dimension ref="A1:J37"/>
  <sheetViews>
    <sheetView workbookViewId="0">
      <selection activeCell="S12" sqref="S12"/>
    </sheetView>
  </sheetViews>
  <sheetFormatPr defaultRowHeight="14.4" x14ac:dyDescent="0.3"/>
  <cols>
    <col min="3" max="3" width="9.77734375" bestFit="1" customWidth="1"/>
    <col min="4" max="4" width="11.44140625" bestFit="1" customWidth="1"/>
    <col min="5" max="5" width="18.109375" style="3" bestFit="1" customWidth="1"/>
    <col min="9" max="9" width="12.88671875" bestFit="1" customWidth="1"/>
    <col min="10" max="10" width="22.21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21</v>
      </c>
      <c r="E1" s="3" t="s">
        <v>108</v>
      </c>
    </row>
    <row r="2" spans="1:10" x14ac:dyDescent="0.3">
      <c r="A2" t="s">
        <v>34</v>
      </c>
      <c r="B2">
        <v>2021</v>
      </c>
      <c r="C2" t="s">
        <v>31</v>
      </c>
      <c r="D2">
        <v>147.9</v>
      </c>
      <c r="E2" s="3">
        <v>0</v>
      </c>
    </row>
    <row r="3" spans="1:10" x14ac:dyDescent="0.3">
      <c r="A3" t="s">
        <v>34</v>
      </c>
      <c r="B3">
        <v>2021</v>
      </c>
      <c r="C3" t="s">
        <v>35</v>
      </c>
      <c r="D3">
        <v>152.4</v>
      </c>
      <c r="E3" s="3">
        <f>(D3-D2)/D2</f>
        <v>3.0425963488843813E-2</v>
      </c>
    </row>
    <row r="4" spans="1:10" x14ac:dyDescent="0.3">
      <c r="A4" t="s">
        <v>34</v>
      </c>
      <c r="B4">
        <v>2021</v>
      </c>
      <c r="C4" t="s">
        <v>36</v>
      </c>
      <c r="D4">
        <v>155.5</v>
      </c>
      <c r="E4" s="3">
        <f t="shared" ref="E4:E30" si="0">(D4-D3)/D3</f>
        <v>2.0341207349081326E-2</v>
      </c>
      <c r="I4" s="1" t="s">
        <v>110</v>
      </c>
      <c r="J4" t="s">
        <v>109</v>
      </c>
    </row>
    <row r="5" spans="1:10" x14ac:dyDescent="0.3">
      <c r="A5" t="s">
        <v>34</v>
      </c>
      <c r="B5">
        <v>2021</v>
      </c>
      <c r="C5" t="s">
        <v>37</v>
      </c>
      <c r="D5">
        <v>155.6</v>
      </c>
      <c r="E5" s="3">
        <f t="shared" si="0"/>
        <v>6.4308681672022071E-4</v>
      </c>
      <c r="I5" s="2">
        <v>2021</v>
      </c>
      <c r="J5" s="3">
        <v>0.10502988946337553</v>
      </c>
    </row>
    <row r="6" spans="1:10" x14ac:dyDescent="0.3">
      <c r="A6" t="s">
        <v>34</v>
      </c>
      <c r="B6">
        <v>2021</v>
      </c>
      <c r="C6" t="s">
        <v>38</v>
      </c>
      <c r="D6">
        <v>159.4</v>
      </c>
      <c r="E6" s="3">
        <f t="shared" si="0"/>
        <v>2.4421593830334265E-2</v>
      </c>
      <c r="I6" s="15" t="s">
        <v>31</v>
      </c>
      <c r="J6" s="3">
        <v>0</v>
      </c>
    </row>
    <row r="7" spans="1:10" x14ac:dyDescent="0.3">
      <c r="A7" t="s">
        <v>34</v>
      </c>
      <c r="B7">
        <v>2021</v>
      </c>
      <c r="C7" t="s">
        <v>39</v>
      </c>
      <c r="D7">
        <v>159.80000000000001</v>
      </c>
      <c r="E7" s="3">
        <f t="shared" si="0"/>
        <v>2.5094102885822186E-3</v>
      </c>
      <c r="I7" s="15" t="s">
        <v>35</v>
      </c>
      <c r="J7" s="3">
        <v>3.0425963488843813E-2</v>
      </c>
    </row>
    <row r="8" spans="1:10" x14ac:dyDescent="0.3">
      <c r="A8" t="s">
        <v>34</v>
      </c>
      <c r="B8">
        <v>2021</v>
      </c>
      <c r="C8" t="s">
        <v>40</v>
      </c>
      <c r="D8">
        <v>160.69999999999999</v>
      </c>
      <c r="E8" s="3">
        <f t="shared" si="0"/>
        <v>5.6320400500624356E-3</v>
      </c>
      <c r="I8" s="15" t="s">
        <v>36</v>
      </c>
      <c r="J8" s="3">
        <v>2.0341207349081326E-2</v>
      </c>
    </row>
    <row r="9" spans="1:10" x14ac:dyDescent="0.3">
      <c r="A9" t="s">
        <v>34</v>
      </c>
      <c r="B9">
        <v>2021</v>
      </c>
      <c r="C9" t="s">
        <v>41</v>
      </c>
      <c r="D9">
        <v>162.6</v>
      </c>
      <c r="E9" s="3">
        <f t="shared" si="0"/>
        <v>1.1823273179838244E-2</v>
      </c>
      <c r="I9" s="15" t="s">
        <v>37</v>
      </c>
      <c r="J9" s="3">
        <v>6.4308681672022071E-4</v>
      </c>
    </row>
    <row r="10" spans="1:10" x14ac:dyDescent="0.3">
      <c r="A10" t="s">
        <v>34</v>
      </c>
      <c r="B10">
        <v>2021</v>
      </c>
      <c r="C10" t="s">
        <v>42</v>
      </c>
      <c r="D10">
        <v>162.6</v>
      </c>
      <c r="E10" s="3">
        <f t="shared" si="0"/>
        <v>0</v>
      </c>
      <c r="I10" s="15" t="s">
        <v>38</v>
      </c>
      <c r="J10" s="3">
        <v>2.4421593830334265E-2</v>
      </c>
    </row>
    <row r="11" spans="1:10" x14ac:dyDescent="0.3">
      <c r="A11" t="s">
        <v>34</v>
      </c>
      <c r="B11">
        <v>2021</v>
      </c>
      <c r="C11" t="s">
        <v>43</v>
      </c>
      <c r="D11">
        <v>164.2</v>
      </c>
      <c r="E11" s="3">
        <f t="shared" si="0"/>
        <v>9.8400984009839754E-3</v>
      </c>
      <c r="I11" s="15" t="s">
        <v>39</v>
      </c>
      <c r="J11" s="3">
        <v>2.5094102885822186E-3</v>
      </c>
    </row>
    <row r="12" spans="1:10" x14ac:dyDescent="0.3">
      <c r="A12" t="s">
        <v>34</v>
      </c>
      <c r="B12">
        <v>2021</v>
      </c>
      <c r="C12" t="s">
        <v>45</v>
      </c>
      <c r="D12">
        <v>163.9</v>
      </c>
      <c r="E12" s="3">
        <f t="shared" si="0"/>
        <v>-1.8270401948841837E-3</v>
      </c>
      <c r="I12" s="15" t="s">
        <v>40</v>
      </c>
      <c r="J12" s="3">
        <v>5.6320400500624356E-3</v>
      </c>
    </row>
    <row r="13" spans="1:10" x14ac:dyDescent="0.3">
      <c r="A13" t="s">
        <v>34</v>
      </c>
      <c r="B13">
        <v>2021</v>
      </c>
      <c r="C13" t="s">
        <v>46</v>
      </c>
      <c r="D13">
        <v>164.1</v>
      </c>
      <c r="E13" s="3">
        <f t="shared" si="0"/>
        <v>1.2202562538132314E-3</v>
      </c>
      <c r="I13" s="15" t="s">
        <v>41</v>
      </c>
      <c r="J13" s="3">
        <v>1.1823273179838244E-2</v>
      </c>
    </row>
    <row r="14" spans="1:10" x14ac:dyDescent="0.3">
      <c r="A14" t="s">
        <v>34</v>
      </c>
      <c r="B14">
        <v>2022</v>
      </c>
      <c r="C14" t="s">
        <v>31</v>
      </c>
      <c r="D14">
        <v>164.2</v>
      </c>
      <c r="E14" s="3">
        <f t="shared" si="0"/>
        <v>6.0938452163311586E-4</v>
      </c>
      <c r="I14" s="15" t="s">
        <v>42</v>
      </c>
      <c r="J14" s="3">
        <v>0</v>
      </c>
    </row>
    <row r="15" spans="1:10" x14ac:dyDescent="0.3">
      <c r="A15" t="s">
        <v>34</v>
      </c>
      <c r="B15">
        <v>2022</v>
      </c>
      <c r="C15" t="s">
        <v>35</v>
      </c>
      <c r="D15">
        <v>165.7</v>
      </c>
      <c r="E15" s="3">
        <f t="shared" si="0"/>
        <v>9.1352009744214372E-3</v>
      </c>
      <c r="I15" s="15" t="s">
        <v>43</v>
      </c>
      <c r="J15" s="3">
        <v>9.8400984009839754E-3</v>
      </c>
    </row>
    <row r="16" spans="1:10" x14ac:dyDescent="0.3">
      <c r="A16" t="s">
        <v>34</v>
      </c>
      <c r="B16">
        <v>2022</v>
      </c>
      <c r="C16" t="s">
        <v>36</v>
      </c>
      <c r="D16">
        <v>167.2</v>
      </c>
      <c r="E16" s="3">
        <f t="shared" si="0"/>
        <v>9.0525045262522634E-3</v>
      </c>
      <c r="I16" s="15" t="s">
        <v>45</v>
      </c>
      <c r="J16" s="3">
        <v>-1.8270401948841837E-3</v>
      </c>
    </row>
    <row r="17" spans="1:10" x14ac:dyDescent="0.3">
      <c r="A17" t="s">
        <v>34</v>
      </c>
      <c r="B17">
        <v>2022</v>
      </c>
      <c r="C17" t="s">
        <v>37</v>
      </c>
      <c r="D17">
        <v>172.2</v>
      </c>
      <c r="E17" s="3">
        <f t="shared" si="0"/>
        <v>2.9904306220095697E-2</v>
      </c>
      <c r="I17" s="15" t="s">
        <v>46</v>
      </c>
      <c r="J17" s="3">
        <v>1.2202562538132314E-3</v>
      </c>
    </row>
    <row r="18" spans="1:10" x14ac:dyDescent="0.3">
      <c r="A18" t="s">
        <v>34</v>
      </c>
      <c r="B18">
        <v>2022</v>
      </c>
      <c r="C18" t="s">
        <v>38</v>
      </c>
      <c r="D18">
        <v>174.6</v>
      </c>
      <c r="E18" s="3">
        <f t="shared" si="0"/>
        <v>1.3937282229965191E-2</v>
      </c>
      <c r="I18" s="2">
        <v>2022</v>
      </c>
      <c r="J18" s="3">
        <v>0.10443636482843882</v>
      </c>
    </row>
    <row r="19" spans="1:10" x14ac:dyDescent="0.3">
      <c r="A19" t="s">
        <v>34</v>
      </c>
      <c r="B19">
        <v>2022</v>
      </c>
      <c r="C19" t="s">
        <v>39</v>
      </c>
      <c r="D19">
        <v>176</v>
      </c>
      <c r="E19" s="3">
        <f t="shared" si="0"/>
        <v>8.0183276059565042E-3</v>
      </c>
      <c r="I19" s="15" t="s">
        <v>31</v>
      </c>
      <c r="J19" s="3">
        <v>6.0938452163311586E-4</v>
      </c>
    </row>
    <row r="20" spans="1:10" x14ac:dyDescent="0.3">
      <c r="A20" t="s">
        <v>34</v>
      </c>
      <c r="B20">
        <v>2022</v>
      </c>
      <c r="C20" t="s">
        <v>40</v>
      </c>
      <c r="D20">
        <v>179.6</v>
      </c>
      <c r="E20" s="3">
        <f t="shared" si="0"/>
        <v>2.0454545454545423E-2</v>
      </c>
      <c r="I20" s="15" t="s">
        <v>35</v>
      </c>
      <c r="J20" s="3">
        <v>9.1352009744214372E-3</v>
      </c>
    </row>
    <row r="21" spans="1:10" x14ac:dyDescent="0.3">
      <c r="A21" t="s">
        <v>34</v>
      </c>
      <c r="B21">
        <v>2022</v>
      </c>
      <c r="C21" t="s">
        <v>41</v>
      </c>
      <c r="D21">
        <v>178.8</v>
      </c>
      <c r="E21" s="3">
        <f t="shared" si="0"/>
        <v>-4.4543429844097048E-3</v>
      </c>
      <c r="I21" s="15" t="s">
        <v>36</v>
      </c>
      <c r="J21" s="3">
        <v>9.0525045262522634E-3</v>
      </c>
    </row>
    <row r="22" spans="1:10" x14ac:dyDescent="0.3">
      <c r="A22" t="s">
        <v>34</v>
      </c>
      <c r="B22">
        <v>2022</v>
      </c>
      <c r="C22" t="s">
        <v>42</v>
      </c>
      <c r="D22">
        <v>179.5</v>
      </c>
      <c r="E22" s="3">
        <f t="shared" si="0"/>
        <v>3.9149888143176093E-3</v>
      </c>
      <c r="I22" s="15" t="s">
        <v>37</v>
      </c>
      <c r="J22" s="3">
        <v>2.9904306220095697E-2</v>
      </c>
    </row>
    <row r="23" spans="1:10" x14ac:dyDescent="0.3">
      <c r="A23" t="s">
        <v>34</v>
      </c>
      <c r="B23">
        <v>2022</v>
      </c>
      <c r="C23" t="s">
        <v>43</v>
      </c>
      <c r="D23">
        <v>180.5</v>
      </c>
      <c r="E23" s="3">
        <f t="shared" si="0"/>
        <v>5.5710306406685237E-3</v>
      </c>
      <c r="I23" s="15" t="s">
        <v>38</v>
      </c>
      <c r="J23" s="3">
        <v>1.3937282229965191E-2</v>
      </c>
    </row>
    <row r="24" spans="1:10" x14ac:dyDescent="0.3">
      <c r="A24" t="s">
        <v>34</v>
      </c>
      <c r="B24">
        <v>2022</v>
      </c>
      <c r="C24" t="s">
        <v>45</v>
      </c>
      <c r="D24">
        <v>181.3</v>
      </c>
      <c r="E24" s="3">
        <f t="shared" si="0"/>
        <v>4.4321329639889825E-3</v>
      </c>
      <c r="I24" s="15" t="s">
        <v>39</v>
      </c>
      <c r="J24" s="3">
        <v>8.0183276059565042E-3</v>
      </c>
    </row>
    <row r="25" spans="1:10" x14ac:dyDescent="0.3">
      <c r="A25" t="s">
        <v>34</v>
      </c>
      <c r="B25">
        <v>2022</v>
      </c>
      <c r="C25" t="s">
        <v>46</v>
      </c>
      <c r="D25">
        <v>182</v>
      </c>
      <c r="E25" s="3">
        <f t="shared" si="0"/>
        <v>3.8610038610037982E-3</v>
      </c>
      <c r="I25" s="15" t="s">
        <v>40</v>
      </c>
      <c r="J25" s="3">
        <v>2.0454545454545423E-2</v>
      </c>
    </row>
    <row r="26" spans="1:10" x14ac:dyDescent="0.3">
      <c r="A26" t="s">
        <v>34</v>
      </c>
      <c r="B26">
        <v>2023</v>
      </c>
      <c r="C26" t="s">
        <v>31</v>
      </c>
      <c r="D26">
        <v>182</v>
      </c>
      <c r="E26" s="3">
        <f t="shared" si="0"/>
        <v>0</v>
      </c>
      <c r="I26" s="15" t="s">
        <v>41</v>
      </c>
      <c r="J26" s="3">
        <v>-4.4543429844097048E-3</v>
      </c>
    </row>
    <row r="27" spans="1:10" x14ac:dyDescent="0.3">
      <c r="A27" t="s">
        <v>34</v>
      </c>
      <c r="B27">
        <v>2023</v>
      </c>
      <c r="C27" t="s">
        <v>35</v>
      </c>
      <c r="D27">
        <v>182.1</v>
      </c>
      <c r="E27" s="3">
        <f t="shared" si="0"/>
        <v>5.4945054945051823E-4</v>
      </c>
      <c r="I27" s="15" t="s">
        <v>42</v>
      </c>
      <c r="J27" s="3">
        <v>3.9149888143176093E-3</v>
      </c>
    </row>
    <row r="28" spans="1:10" x14ac:dyDescent="0.3">
      <c r="A28" t="s">
        <v>34</v>
      </c>
      <c r="B28">
        <v>2023</v>
      </c>
      <c r="C28" t="s">
        <v>36</v>
      </c>
      <c r="D28">
        <v>181.9</v>
      </c>
      <c r="E28" s="3">
        <f t="shared" si="0"/>
        <v>-1.0982976386600144E-3</v>
      </c>
      <c r="I28" s="15" t="s">
        <v>43</v>
      </c>
      <c r="J28" s="3">
        <v>5.5710306406685237E-3</v>
      </c>
    </row>
    <row r="29" spans="1:10" x14ac:dyDescent="0.3">
      <c r="A29" t="s">
        <v>34</v>
      </c>
      <c r="B29">
        <v>2023</v>
      </c>
      <c r="C29" t="s">
        <v>37</v>
      </c>
      <c r="D29">
        <v>181.7</v>
      </c>
      <c r="E29" s="3">
        <f t="shared" si="0"/>
        <v>-1.0995052226499013E-3</v>
      </c>
      <c r="I29" s="15" t="s">
        <v>45</v>
      </c>
      <c r="J29" s="3">
        <v>4.4321329639889825E-3</v>
      </c>
    </row>
    <row r="30" spans="1:10" x14ac:dyDescent="0.3">
      <c r="A30" t="s">
        <v>34</v>
      </c>
      <c r="B30">
        <v>2023</v>
      </c>
      <c r="C30" t="s">
        <v>38</v>
      </c>
      <c r="D30">
        <v>182.8</v>
      </c>
      <c r="E30" s="3">
        <f t="shared" si="0"/>
        <v>6.0539350577876877E-3</v>
      </c>
      <c r="I30" s="15" t="s">
        <v>46</v>
      </c>
      <c r="J30" s="3">
        <v>3.8610038610037982E-3</v>
      </c>
    </row>
    <row r="31" spans="1:10" x14ac:dyDescent="0.3">
      <c r="I31" s="2">
        <v>2023</v>
      </c>
      <c r="J31" s="3">
        <v>4.4055827459282904E-3</v>
      </c>
    </row>
    <row r="32" spans="1:10" x14ac:dyDescent="0.3">
      <c r="I32" s="15" t="s">
        <v>31</v>
      </c>
      <c r="J32" s="3">
        <v>0</v>
      </c>
    </row>
    <row r="33" spans="9:10" x14ac:dyDescent="0.3">
      <c r="I33" s="15" t="s">
        <v>35</v>
      </c>
      <c r="J33" s="3">
        <v>5.4945054945051823E-4</v>
      </c>
    </row>
    <row r="34" spans="9:10" x14ac:dyDescent="0.3">
      <c r="I34" s="15" t="s">
        <v>36</v>
      </c>
      <c r="J34" s="3">
        <v>-1.0982976386600144E-3</v>
      </c>
    </row>
    <row r="35" spans="9:10" x14ac:dyDescent="0.3">
      <c r="I35" s="15" t="s">
        <v>37</v>
      </c>
      <c r="J35" s="3">
        <v>-1.0995052226499013E-3</v>
      </c>
    </row>
    <row r="36" spans="9:10" x14ac:dyDescent="0.3">
      <c r="I36" s="15" t="s">
        <v>38</v>
      </c>
      <c r="J36" s="3">
        <v>6.0539350577876877E-3</v>
      </c>
    </row>
    <row r="37" spans="9:10" x14ac:dyDescent="0.3">
      <c r="I37" s="2" t="s">
        <v>58</v>
      </c>
      <c r="J37" s="3">
        <v>0.21387183703774265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3835C-3E13-4F9B-8E8A-DA66718E7274}">
  <dimension ref="A3:J25"/>
  <sheetViews>
    <sheetView workbookViewId="0">
      <selection activeCell="C22" sqref="C22:J25"/>
    </sheetView>
  </sheetViews>
  <sheetFormatPr defaultRowHeight="14.4" x14ac:dyDescent="0.3"/>
  <cols>
    <col min="1" max="1" width="12.88671875" bestFit="1" customWidth="1"/>
    <col min="2" max="2" width="25" bestFit="1" customWidth="1"/>
  </cols>
  <sheetData>
    <row r="3" spans="1:2" x14ac:dyDescent="0.3">
      <c r="A3" s="1" t="s">
        <v>57</v>
      </c>
      <c r="B3" t="s">
        <v>94</v>
      </c>
    </row>
    <row r="4" spans="1:2" x14ac:dyDescent="0.3">
      <c r="A4" s="2">
        <v>2019</v>
      </c>
      <c r="B4" s="3">
        <v>4.8201278129690245E-2</v>
      </c>
    </row>
    <row r="5" spans="1:2" x14ac:dyDescent="0.3">
      <c r="A5" s="15" t="s">
        <v>42</v>
      </c>
      <c r="B5" s="3">
        <v>5.6657223796032791E-3</v>
      </c>
    </row>
    <row r="6" spans="1:2" x14ac:dyDescent="0.3">
      <c r="A6" s="15" t="s">
        <v>43</v>
      </c>
      <c r="B6" s="3">
        <v>1.3160211267605677E-2</v>
      </c>
    </row>
    <row r="7" spans="1:2" x14ac:dyDescent="0.3">
      <c r="A7" s="15" t="s">
        <v>45</v>
      </c>
      <c r="B7" s="3">
        <v>1.207697988618126E-2</v>
      </c>
    </row>
    <row r="8" spans="1:2" x14ac:dyDescent="0.3">
      <c r="A8" s="15" t="s">
        <v>46</v>
      </c>
      <c r="B8" s="3">
        <v>1.729836459630003E-2</v>
      </c>
    </row>
    <row r="9" spans="1:2" x14ac:dyDescent="0.3">
      <c r="A9" s="2">
        <v>2020</v>
      </c>
      <c r="B9" s="3">
        <v>3.1902926483993711E-2</v>
      </c>
    </row>
    <row r="10" spans="1:2" x14ac:dyDescent="0.3">
      <c r="A10" s="15" t="s">
        <v>31</v>
      </c>
      <c r="B10" s="3">
        <v>-1.2236286919833524E-3</v>
      </c>
    </row>
    <row r="11" spans="1:2" x14ac:dyDescent="0.3">
      <c r="A11" s="15" t="s">
        <v>35</v>
      </c>
      <c r="B11" s="3">
        <v>-1.1110641713489156E-2</v>
      </c>
    </row>
    <row r="12" spans="1:2" x14ac:dyDescent="0.3">
      <c r="A12" s="15" t="s">
        <v>36</v>
      </c>
      <c r="B12" s="3">
        <v>-6.1090225563906675E-3</v>
      </c>
    </row>
    <row r="13" spans="1:2" x14ac:dyDescent="0.3">
      <c r="A13" s="15" t="s">
        <v>37</v>
      </c>
      <c r="B13" s="3">
        <v>2.0502901353964906E-2</v>
      </c>
    </row>
    <row r="14" spans="1:2" x14ac:dyDescent="0.3">
      <c r="A14" s="15" t="s">
        <v>38</v>
      </c>
      <c r="B14" s="3">
        <v>-1.1624968410411891E-2</v>
      </c>
    </row>
    <row r="15" spans="1:2" x14ac:dyDescent="0.3">
      <c r="A15" s="15" t="s">
        <v>39</v>
      </c>
      <c r="B15" s="3">
        <v>2.1946646211540296E-2</v>
      </c>
    </row>
    <row r="16" spans="1:2" x14ac:dyDescent="0.3">
      <c r="A16" s="15" t="s">
        <v>40</v>
      </c>
      <c r="B16" s="3">
        <v>0</v>
      </c>
    </row>
    <row r="17" spans="1:10" x14ac:dyDescent="0.3">
      <c r="A17" s="15" t="s">
        <v>41</v>
      </c>
      <c r="B17" s="3">
        <v>1.4011092114590487E-2</v>
      </c>
    </row>
    <row r="18" spans="1:10" x14ac:dyDescent="0.3">
      <c r="A18" s="15" t="s">
        <v>42</v>
      </c>
      <c r="B18" s="3">
        <v>5.5105481761730853E-3</v>
      </c>
    </row>
    <row r="19" spans="1:10" x14ac:dyDescent="0.3">
      <c r="A19" s="2" t="s">
        <v>58</v>
      </c>
      <c r="B19" s="3">
        <v>8.0104204613683949E-2</v>
      </c>
    </row>
    <row r="22" spans="1:10" x14ac:dyDescent="0.3">
      <c r="C22" s="29" t="s">
        <v>95</v>
      </c>
      <c r="D22" s="30" t="s">
        <v>96</v>
      </c>
      <c r="E22" s="30"/>
      <c r="F22" s="30"/>
      <c r="G22" s="30"/>
      <c r="H22" s="30"/>
      <c r="I22" s="30"/>
      <c r="J22" s="31"/>
    </row>
    <row r="23" spans="1:10" x14ac:dyDescent="0.3">
      <c r="C23" s="38"/>
      <c r="D23" s="39" t="s">
        <v>98</v>
      </c>
      <c r="E23" s="39"/>
      <c r="F23" s="39"/>
      <c r="G23" s="39"/>
      <c r="H23" s="39"/>
      <c r="I23" s="39"/>
      <c r="J23" s="40"/>
    </row>
    <row r="24" spans="1:10" x14ac:dyDescent="0.3">
      <c r="C24" s="38"/>
      <c r="D24" s="39" t="s">
        <v>97</v>
      </c>
      <c r="E24" s="39"/>
      <c r="F24" s="39"/>
      <c r="G24" s="39"/>
      <c r="H24" s="39"/>
      <c r="I24" s="39"/>
      <c r="J24" s="40"/>
    </row>
    <row r="25" spans="1:10" x14ac:dyDescent="0.3">
      <c r="C25" s="32"/>
      <c r="D25" s="33" t="s">
        <v>99</v>
      </c>
      <c r="E25" s="41"/>
      <c r="F25" s="41"/>
      <c r="G25" s="41"/>
      <c r="H25" s="41"/>
      <c r="I25" s="41"/>
      <c r="J25" s="42"/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6DACC-8455-4F6B-8C16-09D1FC558496}">
  <dimension ref="A1:T76"/>
  <sheetViews>
    <sheetView topLeftCell="A10" workbookViewId="0">
      <selection activeCell="F46" sqref="F46:K46"/>
    </sheetView>
  </sheetViews>
  <sheetFormatPr defaultRowHeight="14.4" x14ac:dyDescent="0.3"/>
  <cols>
    <col min="1" max="1" width="12.88671875" bestFit="1" customWidth="1"/>
    <col min="2" max="2" width="22" bestFit="1" customWidth="1"/>
    <col min="3" max="3" width="11.44140625" customWidth="1"/>
    <col min="4" max="4" width="24.109375" bestFit="1" customWidth="1"/>
    <col min="5" max="5" width="20.21875" customWidth="1"/>
    <col min="6" max="6" width="13.77734375" bestFit="1" customWidth="1"/>
    <col min="7" max="7" width="23.109375" bestFit="1" customWidth="1"/>
    <col min="10" max="10" width="13.88671875" bestFit="1" customWidth="1"/>
    <col min="11" max="11" width="20.66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66</v>
      </c>
      <c r="E1" t="s">
        <v>67</v>
      </c>
      <c r="F1" t="s">
        <v>68</v>
      </c>
      <c r="G1" t="s">
        <v>82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</row>
    <row r="2" spans="1:20" x14ac:dyDescent="0.3">
      <c r="A2" t="s">
        <v>34</v>
      </c>
      <c r="B2">
        <v>2022</v>
      </c>
      <c r="C2" t="s">
        <v>39</v>
      </c>
      <c r="D2" s="5">
        <v>173.99230769230769</v>
      </c>
      <c r="E2" s="6">
        <f>((D2-172.2)/172.2)</f>
        <v>1.040829089609583E-2</v>
      </c>
      <c r="F2" t="str">
        <f t="shared" ref="F2:F13" si="0">_xlfn.TEXTJOIN(  ,TRUE,C2,B2)</f>
        <v>June2022</v>
      </c>
      <c r="G2" s="6">
        <f>ABS(E2)</f>
        <v>1.040829089609583E-2</v>
      </c>
      <c r="H2">
        <v>155</v>
      </c>
      <c r="I2">
        <v>219.4</v>
      </c>
      <c r="J2">
        <v>170.8</v>
      </c>
      <c r="K2">
        <v>165.8</v>
      </c>
      <c r="L2">
        <v>200.9</v>
      </c>
      <c r="M2">
        <v>169.7</v>
      </c>
      <c r="N2">
        <v>182.3</v>
      </c>
      <c r="O2">
        <v>164.3</v>
      </c>
      <c r="P2">
        <v>119.9</v>
      </c>
      <c r="Q2">
        <v>187.1</v>
      </c>
      <c r="R2">
        <v>167.9</v>
      </c>
      <c r="S2">
        <v>183.9</v>
      </c>
      <c r="T2">
        <v>174.9</v>
      </c>
    </row>
    <row r="3" spans="1:20" x14ac:dyDescent="0.3">
      <c r="A3" t="s">
        <v>34</v>
      </c>
      <c r="B3">
        <v>2022</v>
      </c>
      <c r="C3" t="s">
        <v>40</v>
      </c>
      <c r="D3" s="5">
        <v>174.33076923076925</v>
      </c>
      <c r="E3" s="6">
        <f t="shared" ref="E3:E13" si="1">((D3-D2)/D2)*100</f>
        <v>0.19452672531943327</v>
      </c>
      <c r="F3" t="str">
        <f t="shared" si="0"/>
        <v>July2022</v>
      </c>
      <c r="G3" s="6">
        <f t="shared" ref="G3:G13" si="2">ABS(E3)</f>
        <v>0.19452672531943327</v>
      </c>
      <c r="H3">
        <v>156.5</v>
      </c>
      <c r="I3">
        <v>213</v>
      </c>
      <c r="J3">
        <v>175.2</v>
      </c>
      <c r="K3">
        <v>166.6</v>
      </c>
      <c r="L3">
        <v>195.8</v>
      </c>
      <c r="M3">
        <v>174.2</v>
      </c>
      <c r="N3">
        <v>182.1</v>
      </c>
      <c r="O3">
        <v>164.3</v>
      </c>
      <c r="P3">
        <v>120</v>
      </c>
      <c r="Q3">
        <v>190</v>
      </c>
      <c r="R3">
        <v>168.4</v>
      </c>
      <c r="S3">
        <v>185.2</v>
      </c>
      <c r="T3">
        <v>175</v>
      </c>
    </row>
    <row r="4" spans="1:20" x14ac:dyDescent="0.3">
      <c r="A4" t="s">
        <v>34</v>
      </c>
      <c r="B4">
        <v>2022</v>
      </c>
      <c r="C4" t="s">
        <v>41</v>
      </c>
      <c r="D4" s="5">
        <v>174.55384615384617</v>
      </c>
      <c r="E4" s="6">
        <f t="shared" si="1"/>
        <v>0.12796187618585006</v>
      </c>
      <c r="F4" t="str">
        <f t="shared" si="0"/>
        <v>August2022</v>
      </c>
      <c r="G4" s="6">
        <f t="shared" si="2"/>
        <v>0.12796187618585006</v>
      </c>
      <c r="H4">
        <v>160.30000000000001</v>
      </c>
      <c r="I4">
        <v>206.5</v>
      </c>
      <c r="J4">
        <v>169.2</v>
      </c>
      <c r="K4">
        <v>168.1</v>
      </c>
      <c r="L4">
        <v>192.4</v>
      </c>
      <c r="M4">
        <v>172.9</v>
      </c>
      <c r="N4">
        <v>186.7</v>
      </c>
      <c r="O4">
        <v>167.2</v>
      </c>
      <c r="P4">
        <v>120.9</v>
      </c>
      <c r="Q4">
        <v>193.6</v>
      </c>
      <c r="R4">
        <v>168.8</v>
      </c>
      <c r="S4">
        <v>186.3</v>
      </c>
      <c r="T4">
        <v>176.3</v>
      </c>
    </row>
    <row r="5" spans="1:20" x14ac:dyDescent="0.3">
      <c r="A5" t="s">
        <v>34</v>
      </c>
      <c r="B5">
        <v>2022</v>
      </c>
      <c r="C5" t="s">
        <v>42</v>
      </c>
      <c r="D5" s="5">
        <v>175.45384615384617</v>
      </c>
      <c r="E5" s="6">
        <f t="shared" si="1"/>
        <v>0.51560021152829516</v>
      </c>
      <c r="F5" t="str">
        <f t="shared" si="0"/>
        <v>September2022</v>
      </c>
      <c r="G5" s="6">
        <f t="shared" si="2"/>
        <v>0.51560021152829516</v>
      </c>
      <c r="H5">
        <v>163.5</v>
      </c>
      <c r="I5">
        <v>209.2</v>
      </c>
      <c r="J5">
        <v>169.7</v>
      </c>
      <c r="K5">
        <v>169.7</v>
      </c>
      <c r="L5">
        <v>188.7</v>
      </c>
      <c r="M5">
        <v>165.7</v>
      </c>
      <c r="N5">
        <v>191.8</v>
      </c>
      <c r="O5">
        <v>169.1</v>
      </c>
      <c r="P5">
        <v>121.6</v>
      </c>
      <c r="Q5">
        <v>197.3</v>
      </c>
      <c r="R5">
        <v>169.4</v>
      </c>
      <c r="S5">
        <v>187.4</v>
      </c>
      <c r="T5">
        <v>177.8</v>
      </c>
    </row>
    <row r="6" spans="1:20" x14ac:dyDescent="0.3">
      <c r="A6" t="s">
        <v>34</v>
      </c>
      <c r="B6">
        <v>2022</v>
      </c>
      <c r="C6" t="s">
        <v>43</v>
      </c>
      <c r="D6" s="5">
        <v>176.71538461538464</v>
      </c>
      <c r="E6" s="6">
        <f t="shared" si="1"/>
        <v>0.71901442413082706</v>
      </c>
      <c r="F6" t="str">
        <f t="shared" si="0"/>
        <v>October2022</v>
      </c>
      <c r="G6" s="6">
        <f t="shared" si="2"/>
        <v>0.71901442413082706</v>
      </c>
      <c r="H6">
        <v>165.2</v>
      </c>
      <c r="I6">
        <v>210.9</v>
      </c>
      <c r="J6">
        <v>170.9</v>
      </c>
      <c r="K6">
        <v>170.9</v>
      </c>
      <c r="L6">
        <v>186.5</v>
      </c>
      <c r="M6">
        <v>163.80000000000001</v>
      </c>
      <c r="N6">
        <v>199.7</v>
      </c>
      <c r="O6">
        <v>169.8</v>
      </c>
      <c r="P6">
        <v>121.9</v>
      </c>
      <c r="Q6">
        <v>199.9</v>
      </c>
      <c r="R6">
        <v>169.9</v>
      </c>
      <c r="S6">
        <v>188.3</v>
      </c>
      <c r="T6">
        <v>179.6</v>
      </c>
    </row>
    <row r="7" spans="1:20" x14ac:dyDescent="0.3">
      <c r="A7" t="s">
        <v>34</v>
      </c>
      <c r="B7">
        <v>2022</v>
      </c>
      <c r="C7" t="s">
        <v>45</v>
      </c>
      <c r="D7" s="5">
        <v>176.67692307692309</v>
      </c>
      <c r="E7" s="6">
        <f t="shared" si="1"/>
        <v>-2.1764680276851682E-2</v>
      </c>
      <c r="F7" t="str">
        <f t="shared" si="0"/>
        <v>November2022</v>
      </c>
      <c r="G7" s="6">
        <f t="shared" si="2"/>
        <v>2.1764680276851682E-2</v>
      </c>
      <c r="H7">
        <v>167.4</v>
      </c>
      <c r="I7">
        <v>209.4</v>
      </c>
      <c r="J7">
        <v>181.4</v>
      </c>
      <c r="K7">
        <v>172.3</v>
      </c>
      <c r="L7">
        <v>188.9</v>
      </c>
      <c r="M7">
        <v>160.69999999999999</v>
      </c>
      <c r="N7">
        <v>183.1</v>
      </c>
      <c r="O7">
        <v>170.5</v>
      </c>
      <c r="P7">
        <v>122.1</v>
      </c>
      <c r="Q7">
        <v>202.8</v>
      </c>
      <c r="R7">
        <v>170.4</v>
      </c>
      <c r="S7">
        <v>189.5</v>
      </c>
      <c r="T7">
        <v>178.3</v>
      </c>
    </row>
    <row r="8" spans="1:20" x14ac:dyDescent="0.3">
      <c r="A8" t="s">
        <v>34</v>
      </c>
      <c r="B8">
        <v>2022</v>
      </c>
      <c r="C8" t="s">
        <v>46</v>
      </c>
      <c r="D8" s="5">
        <v>175.64615384615385</v>
      </c>
      <c r="E8" s="6">
        <f t="shared" si="1"/>
        <v>-0.58342041100662179</v>
      </c>
      <c r="F8" t="str">
        <f t="shared" si="0"/>
        <v>December2022</v>
      </c>
      <c r="G8" s="6">
        <f t="shared" si="2"/>
        <v>0.58342041100662179</v>
      </c>
      <c r="H8">
        <v>169.2</v>
      </c>
      <c r="I8">
        <v>209</v>
      </c>
      <c r="J8">
        <v>190.2</v>
      </c>
      <c r="K8">
        <v>173.6</v>
      </c>
      <c r="L8">
        <v>188.5</v>
      </c>
      <c r="M8">
        <v>158</v>
      </c>
      <c r="N8">
        <v>159.9</v>
      </c>
      <c r="O8">
        <v>170.8</v>
      </c>
      <c r="P8">
        <v>121.8</v>
      </c>
      <c r="Q8">
        <v>205.2</v>
      </c>
      <c r="R8">
        <v>171</v>
      </c>
      <c r="S8">
        <v>190.3</v>
      </c>
      <c r="T8">
        <v>175.9</v>
      </c>
    </row>
    <row r="9" spans="1:20" x14ac:dyDescent="0.3">
      <c r="A9" t="s">
        <v>34</v>
      </c>
      <c r="B9">
        <v>2023</v>
      </c>
      <c r="C9" t="s">
        <v>31</v>
      </c>
      <c r="D9" s="5">
        <v>176.36153846153846</v>
      </c>
      <c r="E9" s="6">
        <f t="shared" si="1"/>
        <v>0.40728737847069707</v>
      </c>
      <c r="F9" t="str">
        <f t="shared" si="0"/>
        <v>January2023</v>
      </c>
      <c r="G9" s="6">
        <f t="shared" si="2"/>
        <v>0.40728737847069707</v>
      </c>
      <c r="H9">
        <v>173.8</v>
      </c>
      <c r="I9">
        <v>210.7</v>
      </c>
      <c r="J9">
        <v>194.5</v>
      </c>
      <c r="K9">
        <v>174.6</v>
      </c>
      <c r="L9">
        <v>187.2</v>
      </c>
      <c r="M9">
        <v>158.30000000000001</v>
      </c>
      <c r="N9">
        <v>153.9</v>
      </c>
      <c r="O9">
        <v>170.9</v>
      </c>
      <c r="P9">
        <v>121.1</v>
      </c>
      <c r="Q9">
        <v>208.4</v>
      </c>
      <c r="R9">
        <v>171.4</v>
      </c>
      <c r="S9">
        <v>191.2</v>
      </c>
      <c r="T9">
        <v>176.7</v>
      </c>
    </row>
    <row r="10" spans="1:20" x14ac:dyDescent="0.3">
      <c r="A10" t="s">
        <v>34</v>
      </c>
      <c r="B10">
        <v>2023</v>
      </c>
      <c r="C10" t="s">
        <v>35</v>
      </c>
      <c r="D10" s="5">
        <v>175.3153846153846</v>
      </c>
      <c r="E10" s="6">
        <f t="shared" si="1"/>
        <v>-0.59318707201117182</v>
      </c>
      <c r="F10" t="str">
        <f t="shared" si="0"/>
        <v>February2023</v>
      </c>
      <c r="G10" s="6">
        <f t="shared" si="2"/>
        <v>0.59318707201117182</v>
      </c>
      <c r="H10">
        <v>174.4</v>
      </c>
      <c r="I10">
        <v>207.7</v>
      </c>
      <c r="J10">
        <v>175.2</v>
      </c>
      <c r="K10">
        <v>177.3</v>
      </c>
      <c r="L10">
        <v>179.3</v>
      </c>
      <c r="M10">
        <v>169.5</v>
      </c>
      <c r="N10">
        <v>152.69999999999999</v>
      </c>
      <c r="O10">
        <v>171</v>
      </c>
      <c r="P10">
        <v>120</v>
      </c>
      <c r="Q10">
        <v>209.7</v>
      </c>
      <c r="R10">
        <v>172.3</v>
      </c>
      <c r="S10">
        <v>193</v>
      </c>
      <c r="T10">
        <v>177</v>
      </c>
    </row>
    <row r="11" spans="1:20" x14ac:dyDescent="0.3">
      <c r="A11" t="s">
        <v>34</v>
      </c>
      <c r="B11">
        <v>2023</v>
      </c>
      <c r="C11" t="s">
        <v>36</v>
      </c>
      <c r="D11" s="5">
        <v>175.32307692307691</v>
      </c>
      <c r="E11" s="6">
        <f t="shared" si="1"/>
        <v>4.3876968978992913E-3</v>
      </c>
      <c r="F11" t="str">
        <f t="shared" si="0"/>
        <v>March2023</v>
      </c>
      <c r="G11" s="6">
        <f t="shared" si="2"/>
        <v>4.3876968978992913E-3</v>
      </c>
      <c r="H11">
        <v>174.4</v>
      </c>
      <c r="I11">
        <v>207.7</v>
      </c>
      <c r="J11">
        <v>175.2</v>
      </c>
      <c r="K11">
        <v>177.3</v>
      </c>
      <c r="L11">
        <v>179.2</v>
      </c>
      <c r="M11">
        <v>169.5</v>
      </c>
      <c r="N11">
        <v>152.80000000000001</v>
      </c>
      <c r="O11">
        <v>171.1</v>
      </c>
      <c r="P11">
        <v>120</v>
      </c>
      <c r="Q11">
        <v>209.7</v>
      </c>
      <c r="R11">
        <v>172.3</v>
      </c>
      <c r="S11">
        <v>193</v>
      </c>
      <c r="T11">
        <v>177</v>
      </c>
    </row>
    <row r="12" spans="1:20" x14ac:dyDescent="0.3">
      <c r="A12" t="s">
        <v>34</v>
      </c>
      <c r="B12">
        <v>2023</v>
      </c>
      <c r="C12" t="s">
        <v>37</v>
      </c>
      <c r="D12" s="5">
        <v>176.12307692307695</v>
      </c>
      <c r="E12" s="6">
        <f t="shared" si="1"/>
        <v>0.456300456300479</v>
      </c>
      <c r="F12" t="str">
        <f t="shared" si="0"/>
        <v>April2023</v>
      </c>
      <c r="G12" s="6">
        <f t="shared" si="2"/>
        <v>0.456300456300479</v>
      </c>
      <c r="H12">
        <v>173.8</v>
      </c>
      <c r="I12">
        <v>209.3</v>
      </c>
      <c r="J12">
        <v>169.6</v>
      </c>
      <c r="K12">
        <v>178.4</v>
      </c>
      <c r="L12">
        <v>174.9</v>
      </c>
      <c r="M12">
        <v>176.3</v>
      </c>
      <c r="N12">
        <v>155.4</v>
      </c>
      <c r="O12">
        <v>173.4</v>
      </c>
      <c r="P12">
        <v>121.3</v>
      </c>
      <c r="Q12">
        <v>212.9</v>
      </c>
      <c r="R12">
        <v>172.9</v>
      </c>
      <c r="S12">
        <v>193.5</v>
      </c>
      <c r="T12">
        <v>177.9</v>
      </c>
    </row>
    <row r="13" spans="1:20" x14ac:dyDescent="0.3">
      <c r="A13" t="s">
        <v>34</v>
      </c>
      <c r="B13">
        <v>2023</v>
      </c>
      <c r="C13" t="s">
        <v>38</v>
      </c>
      <c r="D13" s="5">
        <v>177.45384615384617</v>
      </c>
      <c r="E13" s="6">
        <f t="shared" si="1"/>
        <v>0.75559049615652807</v>
      </c>
      <c r="F13" t="str">
        <f t="shared" si="0"/>
        <v>May2023</v>
      </c>
      <c r="G13" s="6">
        <f t="shared" si="2"/>
        <v>0.75559049615652807</v>
      </c>
      <c r="H13">
        <v>173.7</v>
      </c>
      <c r="I13">
        <v>214.3</v>
      </c>
      <c r="J13">
        <v>173.2</v>
      </c>
      <c r="K13">
        <v>179.5</v>
      </c>
      <c r="L13">
        <v>170</v>
      </c>
      <c r="M13">
        <v>172.2</v>
      </c>
      <c r="N13">
        <v>161</v>
      </c>
      <c r="O13">
        <v>175.6</v>
      </c>
      <c r="P13">
        <v>122.7</v>
      </c>
      <c r="Q13">
        <v>218</v>
      </c>
      <c r="R13">
        <v>173.4</v>
      </c>
      <c r="S13">
        <v>194.2</v>
      </c>
      <c r="T13">
        <v>179.1</v>
      </c>
    </row>
    <row r="16" spans="1:20" x14ac:dyDescent="0.3">
      <c r="E16" s="11" t="s">
        <v>90</v>
      </c>
      <c r="F16" s="11"/>
      <c r="G16" s="11"/>
      <c r="H16" s="11"/>
      <c r="I16" s="11"/>
      <c r="J16" s="11"/>
      <c r="K16" s="11"/>
    </row>
    <row r="17" spans="1:6" x14ac:dyDescent="0.3">
      <c r="E17" s="12" t="s">
        <v>91</v>
      </c>
      <c r="F17" s="12"/>
    </row>
    <row r="19" spans="1:6" x14ac:dyDescent="0.3">
      <c r="A19" s="1" t="s">
        <v>57</v>
      </c>
      <c r="B19" t="s">
        <v>83</v>
      </c>
      <c r="D19" s="1" t="s">
        <v>57</v>
      </c>
      <c r="E19" t="s">
        <v>81</v>
      </c>
    </row>
    <row r="20" spans="1:6" x14ac:dyDescent="0.3">
      <c r="A20" s="2" t="s">
        <v>69</v>
      </c>
      <c r="B20" s="6">
        <v>0.456300456300479</v>
      </c>
      <c r="D20" s="2" t="s">
        <v>72</v>
      </c>
      <c r="E20" s="6">
        <v>-0.59318707201117182</v>
      </c>
    </row>
    <row r="21" spans="1:6" x14ac:dyDescent="0.3">
      <c r="A21" s="2" t="s">
        <v>70</v>
      </c>
      <c r="B21" s="6">
        <v>0.12796187618585006</v>
      </c>
      <c r="D21" s="2" t="s">
        <v>71</v>
      </c>
      <c r="E21" s="6">
        <v>-0.58342041100662179</v>
      </c>
    </row>
    <row r="22" spans="1:6" x14ac:dyDescent="0.3">
      <c r="A22" s="2" t="s">
        <v>71</v>
      </c>
      <c r="B22" s="6">
        <v>0.58342041100662179</v>
      </c>
      <c r="D22" s="2" t="s">
        <v>78</v>
      </c>
      <c r="E22" s="6">
        <v>-2.1764680276851682E-2</v>
      </c>
    </row>
    <row r="23" spans="1:6" x14ac:dyDescent="0.3">
      <c r="A23" s="2" t="s">
        <v>72</v>
      </c>
      <c r="B23" s="6">
        <v>0.59318707201117182</v>
      </c>
      <c r="D23" s="2" t="s">
        <v>76</v>
      </c>
      <c r="E23" s="6">
        <v>4.3876968978992913E-3</v>
      </c>
    </row>
    <row r="24" spans="1:6" x14ac:dyDescent="0.3">
      <c r="A24" s="2" t="s">
        <v>73</v>
      </c>
      <c r="B24" s="6">
        <v>0.40728737847069707</v>
      </c>
      <c r="D24" s="2" t="s">
        <v>70</v>
      </c>
      <c r="E24" s="6">
        <v>0.12796187618585006</v>
      </c>
    </row>
    <row r="25" spans="1:6" x14ac:dyDescent="0.3">
      <c r="A25" s="2" t="s">
        <v>74</v>
      </c>
      <c r="B25" s="6">
        <v>0.19452672531943327</v>
      </c>
      <c r="D25" s="2" t="s">
        <v>74</v>
      </c>
      <c r="E25" s="6">
        <v>0.19452672531943327</v>
      </c>
    </row>
    <row r="26" spans="1:6" x14ac:dyDescent="0.3">
      <c r="A26" s="2" t="s">
        <v>75</v>
      </c>
      <c r="B26" s="6">
        <v>1.0408290896095831</v>
      </c>
      <c r="D26" s="2" t="s">
        <v>73</v>
      </c>
      <c r="E26" s="6">
        <v>0.40728737847069707</v>
      </c>
    </row>
    <row r="27" spans="1:6" x14ac:dyDescent="0.3">
      <c r="A27" s="2" t="s">
        <v>76</v>
      </c>
      <c r="B27" s="6">
        <v>4.3876968978992913E-3</v>
      </c>
      <c r="D27" s="2" t="s">
        <v>69</v>
      </c>
      <c r="E27" s="6">
        <v>0.456300456300479</v>
      </c>
    </row>
    <row r="28" spans="1:6" x14ac:dyDescent="0.3">
      <c r="A28" s="2" t="s">
        <v>77</v>
      </c>
      <c r="B28" s="6">
        <v>0.75559049615652807</v>
      </c>
      <c r="D28" s="2" t="s">
        <v>80</v>
      </c>
      <c r="E28" s="6">
        <v>0.51560021152829516</v>
      </c>
    </row>
    <row r="29" spans="1:6" x14ac:dyDescent="0.3">
      <c r="A29" s="2" t="s">
        <v>78</v>
      </c>
      <c r="B29" s="6">
        <v>2.1764680276851682E-2</v>
      </c>
      <c r="D29" s="2" t="s">
        <v>79</v>
      </c>
      <c r="E29" s="6">
        <v>0.71901442413082706</v>
      </c>
    </row>
    <row r="30" spans="1:6" x14ac:dyDescent="0.3">
      <c r="A30" s="2" t="s">
        <v>79</v>
      </c>
      <c r="B30" s="6">
        <v>0.71901442413082706</v>
      </c>
      <c r="D30" s="2" t="s">
        <v>77</v>
      </c>
      <c r="E30" s="6">
        <v>0.75559049615652807</v>
      </c>
    </row>
    <row r="31" spans="1:6" x14ac:dyDescent="0.3">
      <c r="A31" s="2" t="s">
        <v>80</v>
      </c>
      <c r="B31" s="6">
        <v>0.51560021152829516</v>
      </c>
      <c r="D31" s="2" t="s">
        <v>75</v>
      </c>
      <c r="E31" s="6">
        <v>1.0408290896095831</v>
      </c>
    </row>
    <row r="32" spans="1:6" x14ac:dyDescent="0.3">
      <c r="A32" s="2" t="s">
        <v>58</v>
      </c>
      <c r="B32" s="6">
        <v>5.4198705178942381</v>
      </c>
      <c r="D32" s="2" t="s">
        <v>58</v>
      </c>
      <c r="E32" s="6">
        <v>3.0231261913049465</v>
      </c>
    </row>
    <row r="37" spans="1:11" x14ac:dyDescent="0.3">
      <c r="D37" s="25" t="s">
        <v>65</v>
      </c>
      <c r="E37" s="26" t="s">
        <v>84</v>
      </c>
      <c r="F37" s="27"/>
      <c r="G37" s="27"/>
      <c r="H37" s="35"/>
      <c r="I37" s="35"/>
      <c r="J37" s="35"/>
      <c r="K37" s="36"/>
    </row>
    <row r="40" spans="1:11" x14ac:dyDescent="0.3">
      <c r="A40" s="4" t="s">
        <v>86</v>
      </c>
      <c r="B40" s="4" t="s">
        <v>85</v>
      </c>
      <c r="C40" s="4"/>
      <c r="D40" s="4"/>
      <c r="E40" s="7">
        <f>ABS((D13-D2)/D2)</f>
        <v>1.9894778725850062E-2</v>
      </c>
    </row>
    <row r="43" spans="1:11" x14ac:dyDescent="0.3">
      <c r="B43" s="9" t="s">
        <v>56</v>
      </c>
      <c r="C43" s="9"/>
      <c r="D43" s="9" t="s">
        <v>87</v>
      </c>
    </row>
    <row r="44" spans="1:11" x14ac:dyDescent="0.3">
      <c r="B44" t="s">
        <v>3</v>
      </c>
      <c r="D44" s="3">
        <f>ABS((H13-H2)/H2)</f>
        <v>0.1206451612903225</v>
      </c>
    </row>
    <row r="45" spans="1:11" x14ac:dyDescent="0.3">
      <c r="B45" t="s">
        <v>4</v>
      </c>
      <c r="D45" s="3">
        <f>ABS((I13-I2)/I2)</f>
        <v>2.3245214220601614E-2</v>
      </c>
      <c r="F45" s="4" t="s">
        <v>65</v>
      </c>
    </row>
    <row r="46" spans="1:11" x14ac:dyDescent="0.3">
      <c r="B46" t="s">
        <v>5</v>
      </c>
      <c r="D46" s="3">
        <f>ABS((J13-J2)/J2)</f>
        <v>1.4051522248243426E-2</v>
      </c>
      <c r="F46" s="37" t="s">
        <v>88</v>
      </c>
      <c r="G46" s="23"/>
      <c r="H46" s="23"/>
      <c r="I46" s="23"/>
      <c r="J46" s="23"/>
      <c r="K46" s="24"/>
    </row>
    <row r="47" spans="1:11" x14ac:dyDescent="0.3">
      <c r="B47" t="s">
        <v>6</v>
      </c>
      <c r="D47" s="3">
        <f>ABS((K13-K2)/K2)</f>
        <v>8.2629674306393175E-2</v>
      </c>
    </row>
    <row r="48" spans="1:11" x14ac:dyDescent="0.3">
      <c r="B48" t="s">
        <v>7</v>
      </c>
      <c r="D48" s="3">
        <f>ABS((L13-L2)/L2)</f>
        <v>0.15380786460925835</v>
      </c>
    </row>
    <row r="49" spans="1:4" x14ac:dyDescent="0.3">
      <c r="B49" t="s">
        <v>8</v>
      </c>
      <c r="D49" s="3">
        <f>ABS((M13-M2)/M2)</f>
        <v>1.4731879787860933E-2</v>
      </c>
    </row>
    <row r="50" spans="1:4" x14ac:dyDescent="0.3">
      <c r="B50" t="s">
        <v>9</v>
      </c>
      <c r="D50" s="3">
        <f>ABS((N13-N2)/N2)</f>
        <v>0.11684037301151953</v>
      </c>
    </row>
    <row r="51" spans="1:4" x14ac:dyDescent="0.3">
      <c r="B51" t="s">
        <v>10</v>
      </c>
      <c r="D51" s="3">
        <f>ABS((O13-O2)/O2)</f>
        <v>6.8776628119293873E-2</v>
      </c>
    </row>
    <row r="52" spans="1:4" x14ac:dyDescent="0.3">
      <c r="B52" t="s">
        <v>11</v>
      </c>
      <c r="D52" s="3">
        <f>ABS((P13-P2)/P2)</f>
        <v>2.3352793994995805E-2</v>
      </c>
    </row>
    <row r="53" spans="1:4" x14ac:dyDescent="0.3">
      <c r="B53" t="s">
        <v>12</v>
      </c>
      <c r="D53" s="3">
        <f>ABS((Q13-Q2)/Q2)</f>
        <v>0.16515232495991453</v>
      </c>
    </row>
    <row r="54" spans="1:4" x14ac:dyDescent="0.3">
      <c r="B54" t="s">
        <v>13</v>
      </c>
      <c r="D54" s="3">
        <f>ABS((R13-R2)/R2)</f>
        <v>3.2757593805836809E-2</v>
      </c>
    </row>
    <row r="55" spans="1:4" x14ac:dyDescent="0.3">
      <c r="B55" t="s">
        <v>14</v>
      </c>
      <c r="D55" s="3">
        <f>ABS((S13-S2)/S2)</f>
        <v>5.6008700380641561E-2</v>
      </c>
    </row>
    <row r="56" spans="1:4" x14ac:dyDescent="0.3">
      <c r="B56" s="8" t="s">
        <v>15</v>
      </c>
      <c r="C56" s="8"/>
      <c r="D56" s="10">
        <f>ABS((T13-T2)/T2)</f>
        <v>2.4013722126929607E-2</v>
      </c>
    </row>
    <row r="61" spans="1:4" x14ac:dyDescent="0.3">
      <c r="A61" s="1" t="s">
        <v>112</v>
      </c>
      <c r="B61" t="s">
        <v>111</v>
      </c>
    </row>
    <row r="62" spans="1:4" x14ac:dyDescent="0.3">
      <c r="A62" s="2">
        <v>2022</v>
      </c>
      <c r="B62" s="5">
        <v>1227.3692307692306</v>
      </c>
    </row>
    <row r="63" spans="1:4" x14ac:dyDescent="0.3">
      <c r="A63" s="15" t="s">
        <v>39</v>
      </c>
      <c r="B63" s="5">
        <v>173.99230769230769</v>
      </c>
    </row>
    <row r="64" spans="1:4" x14ac:dyDescent="0.3">
      <c r="A64" s="15" t="s">
        <v>40</v>
      </c>
      <c r="B64" s="5">
        <v>174.33076923076925</v>
      </c>
    </row>
    <row r="65" spans="1:2" x14ac:dyDescent="0.3">
      <c r="A65" s="15" t="s">
        <v>41</v>
      </c>
      <c r="B65" s="5">
        <v>174.55384615384617</v>
      </c>
    </row>
    <row r="66" spans="1:2" x14ac:dyDescent="0.3">
      <c r="A66" s="15" t="s">
        <v>42</v>
      </c>
      <c r="B66" s="5">
        <v>175.45384615384617</v>
      </c>
    </row>
    <row r="67" spans="1:2" x14ac:dyDescent="0.3">
      <c r="A67" s="15" t="s">
        <v>43</v>
      </c>
      <c r="B67" s="5">
        <v>176.71538461538464</v>
      </c>
    </row>
    <row r="68" spans="1:2" x14ac:dyDescent="0.3">
      <c r="A68" s="15" t="s">
        <v>45</v>
      </c>
      <c r="B68" s="5">
        <v>176.67692307692309</v>
      </c>
    </row>
    <row r="69" spans="1:2" x14ac:dyDescent="0.3">
      <c r="A69" s="15" t="s">
        <v>46</v>
      </c>
      <c r="B69" s="5">
        <v>175.64615384615385</v>
      </c>
    </row>
    <row r="70" spans="1:2" x14ac:dyDescent="0.3">
      <c r="A70" s="2">
        <v>2023</v>
      </c>
      <c r="B70" s="5">
        <v>880.57692307692309</v>
      </c>
    </row>
    <row r="71" spans="1:2" x14ac:dyDescent="0.3">
      <c r="A71" s="15" t="s">
        <v>31</v>
      </c>
      <c r="B71" s="5">
        <v>176.36153846153846</v>
      </c>
    </row>
    <row r="72" spans="1:2" x14ac:dyDescent="0.3">
      <c r="A72" s="15" t="s">
        <v>35</v>
      </c>
      <c r="B72" s="5">
        <v>175.3153846153846</v>
      </c>
    </row>
    <row r="73" spans="1:2" x14ac:dyDescent="0.3">
      <c r="A73" s="15" t="s">
        <v>36</v>
      </c>
      <c r="B73" s="5">
        <v>175.32307692307691</v>
      </c>
    </row>
    <row r="74" spans="1:2" x14ac:dyDescent="0.3">
      <c r="A74" s="15" t="s">
        <v>37</v>
      </c>
      <c r="B74" s="5">
        <v>176.12307692307695</v>
      </c>
    </row>
    <row r="75" spans="1:2" x14ac:dyDescent="0.3">
      <c r="A75" s="15" t="s">
        <v>38</v>
      </c>
      <c r="B75" s="5">
        <v>177.45384615384617</v>
      </c>
    </row>
    <row r="76" spans="1:2" x14ac:dyDescent="0.3">
      <c r="A76" s="2" t="s">
        <v>58</v>
      </c>
      <c r="B76" s="5">
        <v>2107.9461538461537</v>
      </c>
    </row>
  </sheetData>
  <conditionalFormatting pivot="1" sqref="E20:E31">
    <cfRule type="top10" dxfId="5" priority="3" rank="1"/>
  </conditionalFormatting>
  <conditionalFormatting pivot="1" sqref="E20:E31">
    <cfRule type="top10" dxfId="4" priority="2" bottom="1" rank="1"/>
  </conditionalFormatting>
  <conditionalFormatting sqref="D44:D56">
    <cfRule type="top10" dxfId="3" priority="1" rank="1"/>
  </conditionalFormatting>
  <pageMargins left="0.7" right="0.7" top="0.75" bottom="0.75" header="0.3" footer="0.3"/>
  <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17DE8-500B-4B47-A11D-77FC63CF20EC}">
  <dimension ref="A1:N18"/>
  <sheetViews>
    <sheetView workbookViewId="0">
      <selection activeCell="A17" sqref="A17:I18"/>
    </sheetView>
  </sheetViews>
  <sheetFormatPr defaultRowHeight="14.4" x14ac:dyDescent="0.3"/>
  <cols>
    <col min="4" max="4" width="12" bestFit="1" customWidth="1"/>
    <col min="9" max="9" width="21.88671875" bestFit="1" customWidth="1"/>
    <col min="13" max="13" width="12.44140625" bestFit="1" customWidth="1"/>
    <col min="14" max="14" width="16.55468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29</v>
      </c>
      <c r="H1" t="s">
        <v>101</v>
      </c>
      <c r="I1" s="3" t="s">
        <v>107</v>
      </c>
    </row>
    <row r="2" spans="1:14" x14ac:dyDescent="0.3">
      <c r="A2" t="s">
        <v>34</v>
      </c>
      <c r="B2">
        <v>2017</v>
      </c>
      <c r="C2" t="s">
        <v>31</v>
      </c>
      <c r="D2">
        <v>130.30000000000001</v>
      </c>
      <c r="H2">
        <v>2017</v>
      </c>
      <c r="I2" s="3">
        <f>(D3-D2)/D2</f>
        <v>5.295471987720627E-2</v>
      </c>
    </row>
    <row r="3" spans="1:14" x14ac:dyDescent="0.3">
      <c r="A3" t="s">
        <v>34</v>
      </c>
      <c r="B3">
        <v>2017</v>
      </c>
      <c r="C3" t="s">
        <v>46</v>
      </c>
      <c r="D3">
        <v>137.19999999999999</v>
      </c>
      <c r="H3">
        <v>2018</v>
      </c>
      <c r="I3" s="3">
        <f>(D5-D4)/D4</f>
        <v>2.3374726077428697E-2</v>
      </c>
      <c r="M3" s="1" t="s">
        <v>103</v>
      </c>
      <c r="N3" t="s">
        <v>102</v>
      </c>
    </row>
    <row r="4" spans="1:14" x14ac:dyDescent="0.3">
      <c r="A4" t="s">
        <v>34</v>
      </c>
      <c r="B4">
        <v>2018</v>
      </c>
      <c r="C4" t="s">
        <v>31</v>
      </c>
      <c r="D4">
        <v>136.9</v>
      </c>
      <c r="H4">
        <v>2019</v>
      </c>
      <c r="I4" s="3">
        <f>(D7-D6)/D6</f>
        <v>7.7363896848137617E-2</v>
      </c>
      <c r="M4" s="2">
        <v>2017</v>
      </c>
      <c r="N4" s="3">
        <v>5.295471987720627E-2</v>
      </c>
    </row>
    <row r="5" spans="1:14" x14ac:dyDescent="0.3">
      <c r="A5" t="s">
        <v>34</v>
      </c>
      <c r="B5">
        <v>2018</v>
      </c>
      <c r="C5" t="s">
        <v>46</v>
      </c>
      <c r="D5">
        <v>140.1</v>
      </c>
      <c r="H5">
        <v>2020</v>
      </c>
      <c r="I5" s="3">
        <f>(D9-D8)/D8</f>
        <v>5.7922769640479481E-2</v>
      </c>
      <c r="M5" s="2">
        <v>2018</v>
      </c>
      <c r="N5" s="3">
        <v>2.3374726077428697E-2</v>
      </c>
    </row>
    <row r="6" spans="1:14" x14ac:dyDescent="0.3">
      <c r="A6" t="s">
        <v>34</v>
      </c>
      <c r="B6">
        <v>2019</v>
      </c>
      <c r="C6" t="s">
        <v>31</v>
      </c>
      <c r="D6">
        <v>139.6</v>
      </c>
      <c r="H6">
        <v>2021</v>
      </c>
      <c r="I6" s="3">
        <f>(D11-D10)/D10</f>
        <v>5.657978385251098E-2</v>
      </c>
      <c r="M6" s="2">
        <v>2019</v>
      </c>
      <c r="N6" s="3">
        <v>7.7363896848137617E-2</v>
      </c>
    </row>
    <row r="7" spans="1:14" x14ac:dyDescent="0.3">
      <c r="A7" t="s">
        <v>34</v>
      </c>
      <c r="B7">
        <v>2019</v>
      </c>
      <c r="C7" t="s">
        <v>46</v>
      </c>
      <c r="D7">
        <v>150.4</v>
      </c>
      <c r="H7">
        <v>2022</v>
      </c>
      <c r="I7" s="3">
        <f>(D13-D12)/D12</f>
        <v>6.0350030175015092E-2</v>
      </c>
      <c r="M7" s="2">
        <v>2020</v>
      </c>
      <c r="N7" s="3">
        <v>5.7922769640479481E-2</v>
      </c>
    </row>
    <row r="8" spans="1:14" x14ac:dyDescent="0.3">
      <c r="A8" t="s">
        <v>34</v>
      </c>
      <c r="B8">
        <v>2020</v>
      </c>
      <c r="C8" t="s">
        <v>31</v>
      </c>
      <c r="D8">
        <v>150.19999999999999</v>
      </c>
      <c r="M8" s="2">
        <v>2021</v>
      </c>
      <c r="N8" s="3">
        <v>5.657978385251098E-2</v>
      </c>
    </row>
    <row r="9" spans="1:14" x14ac:dyDescent="0.3">
      <c r="A9" t="s">
        <v>34</v>
      </c>
      <c r="B9">
        <v>2020</v>
      </c>
      <c r="C9" t="s">
        <v>46</v>
      </c>
      <c r="D9">
        <v>158.9</v>
      </c>
      <c r="M9" s="2">
        <v>2022</v>
      </c>
      <c r="N9" s="3">
        <v>6.0350030175015092E-2</v>
      </c>
    </row>
    <row r="10" spans="1:14" x14ac:dyDescent="0.3">
      <c r="A10" t="s">
        <v>34</v>
      </c>
      <c r="B10">
        <v>2021</v>
      </c>
      <c r="C10" t="s">
        <v>31</v>
      </c>
      <c r="D10">
        <v>157.30000000000001</v>
      </c>
      <c r="M10" s="2" t="s">
        <v>58</v>
      </c>
      <c r="N10" s="3">
        <v>0.32854592647077818</v>
      </c>
    </row>
    <row r="11" spans="1:14" x14ac:dyDescent="0.3">
      <c r="A11" t="s">
        <v>34</v>
      </c>
      <c r="B11">
        <v>2021</v>
      </c>
      <c r="C11" t="s">
        <v>46</v>
      </c>
      <c r="D11">
        <v>166.2</v>
      </c>
    </row>
    <row r="12" spans="1:14" x14ac:dyDescent="0.3">
      <c r="A12" t="s">
        <v>34</v>
      </c>
      <c r="B12">
        <v>2022</v>
      </c>
      <c r="C12" t="s">
        <v>31</v>
      </c>
      <c r="D12">
        <v>165.7</v>
      </c>
    </row>
    <row r="13" spans="1:14" x14ac:dyDescent="0.3">
      <c r="A13" t="s">
        <v>34</v>
      </c>
      <c r="B13">
        <v>2022</v>
      </c>
      <c r="C13" t="s">
        <v>46</v>
      </c>
      <c r="D13">
        <v>175.7</v>
      </c>
    </row>
    <row r="14" spans="1:14" x14ac:dyDescent="0.3">
      <c r="A14" t="s">
        <v>34</v>
      </c>
      <c r="B14">
        <v>2023</v>
      </c>
      <c r="C14" t="s">
        <v>31</v>
      </c>
      <c r="D14">
        <v>176.5</v>
      </c>
    </row>
    <row r="16" spans="1:14" x14ac:dyDescent="0.3">
      <c r="A16" s="11" t="s">
        <v>89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spans="1:9" x14ac:dyDescent="0.3">
      <c r="A17" s="29" t="s">
        <v>104</v>
      </c>
      <c r="B17" s="30" t="s">
        <v>105</v>
      </c>
      <c r="C17" s="30"/>
      <c r="D17" s="30"/>
      <c r="E17" s="30"/>
      <c r="F17" s="30"/>
      <c r="G17" s="30"/>
      <c r="H17" s="30"/>
      <c r="I17" s="31"/>
    </row>
    <row r="18" spans="1:9" x14ac:dyDescent="0.3">
      <c r="A18" s="32"/>
      <c r="B18" s="33" t="s">
        <v>106</v>
      </c>
      <c r="C18" s="33"/>
      <c r="D18" s="33"/>
      <c r="E18" s="33"/>
      <c r="F18" s="33"/>
      <c r="G18" s="33"/>
      <c r="H18" s="33"/>
      <c r="I18" s="34"/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DAEA8-C2B8-4DD9-9A87-B06C5C1239F6}">
  <dimension ref="A1:O27"/>
  <sheetViews>
    <sheetView workbookViewId="0">
      <selection activeCell="H23" sqref="H23"/>
    </sheetView>
  </sheetViews>
  <sheetFormatPr defaultRowHeight="14.4" x14ac:dyDescent="0.3"/>
  <cols>
    <col min="1" max="1" width="30.77734375" bestFit="1" customWidth="1"/>
    <col min="2" max="3" width="6" bestFit="1" customWidth="1"/>
    <col min="4" max="4" width="11.109375" bestFit="1" customWidth="1"/>
    <col min="5" max="5" width="25.109375" bestFit="1" customWidth="1"/>
    <col min="8" max="8" width="25.109375" bestFit="1" customWidth="1"/>
    <col min="9" max="9" width="12.88671875" bestFit="1" customWidth="1"/>
    <col min="11" max="11" width="25.109375" bestFit="1" customWidth="1"/>
    <col min="12" max="12" width="8.109375" bestFit="1" customWidth="1"/>
    <col min="14" max="14" width="25.109375" bestFit="1" customWidth="1"/>
    <col min="15" max="15" width="12.88671875" bestFit="1" customWidth="1"/>
  </cols>
  <sheetData>
    <row r="1" spans="1:15" x14ac:dyDescent="0.3">
      <c r="A1" t="s">
        <v>0</v>
      </c>
      <c r="B1" t="s">
        <v>30</v>
      </c>
      <c r="C1" t="s">
        <v>33</v>
      </c>
      <c r="D1" t="s">
        <v>34</v>
      </c>
      <c r="E1" t="s">
        <v>56</v>
      </c>
    </row>
    <row r="2" spans="1:15" x14ac:dyDescent="0.3">
      <c r="A2" t="s">
        <v>3</v>
      </c>
      <c r="B2">
        <v>173.2</v>
      </c>
      <c r="C2">
        <v>174.7</v>
      </c>
      <c r="D2">
        <v>173.7</v>
      </c>
      <c r="E2" t="str">
        <f>VLOOKUP(A2,'Broader Category'!A2:B27,2,FALSE)</f>
        <v>Food and Beverages</v>
      </c>
      <c r="H2" s="1" t="s">
        <v>57</v>
      </c>
      <c r="I2" t="s">
        <v>59</v>
      </c>
      <c r="K2" s="1" t="s">
        <v>57</v>
      </c>
      <c r="L2" t="s">
        <v>60</v>
      </c>
      <c r="N2" s="1" t="s">
        <v>100</v>
      </c>
      <c r="O2" t="s">
        <v>61</v>
      </c>
    </row>
    <row r="3" spans="1:15" x14ac:dyDescent="0.3">
      <c r="A3" t="s">
        <v>4</v>
      </c>
      <c r="B3">
        <v>211.5</v>
      </c>
      <c r="C3">
        <v>219.4</v>
      </c>
      <c r="D3">
        <v>214.3</v>
      </c>
      <c r="E3" t="str">
        <f>VLOOKUP(A3,'Broader Category'!A3:B28,2,FALSE)</f>
        <v>Food and Beverages</v>
      </c>
      <c r="H3" s="2" t="s">
        <v>50</v>
      </c>
      <c r="I3" s="3">
        <v>0.50918022583800127</v>
      </c>
      <c r="K3" s="2" t="s">
        <v>50</v>
      </c>
      <c r="L3" s="3">
        <v>0.50315671529229244</v>
      </c>
      <c r="N3" s="2" t="s">
        <v>50</v>
      </c>
      <c r="O3" s="3">
        <v>0.49563853557923693</v>
      </c>
    </row>
    <row r="4" spans="1:15" x14ac:dyDescent="0.3">
      <c r="A4" t="s">
        <v>5</v>
      </c>
      <c r="B4">
        <v>171</v>
      </c>
      <c r="C4">
        <v>176.7</v>
      </c>
      <c r="D4">
        <v>173.2</v>
      </c>
      <c r="E4" t="str">
        <f>VLOOKUP(A4,'Broader Category'!A4:B29,2,FALSE)</f>
        <v>Food and Beverages</v>
      </c>
      <c r="H4" s="2" t="s">
        <v>51</v>
      </c>
      <c r="I4" s="3">
        <v>0.12667822530452563</v>
      </c>
      <c r="K4" s="2" t="s">
        <v>51</v>
      </c>
      <c r="L4" s="3">
        <v>0.1139218686030727</v>
      </c>
      <c r="N4" s="2" t="s">
        <v>51</v>
      </c>
      <c r="O4" s="3">
        <v>0.11885527672739775</v>
      </c>
    </row>
    <row r="5" spans="1:15" x14ac:dyDescent="0.3">
      <c r="A5" t="s">
        <v>6</v>
      </c>
      <c r="B5">
        <v>179.6</v>
      </c>
      <c r="C5">
        <v>179.4</v>
      </c>
      <c r="D5">
        <v>179.5</v>
      </c>
      <c r="E5" t="str">
        <f>VLOOKUP(A5,'Broader Category'!A5:B30,2,FALSE)</f>
        <v>Food and Beverages</v>
      </c>
      <c r="H5" s="2" t="s">
        <v>55</v>
      </c>
      <c r="I5" s="3">
        <v>7.9732373077265037E-2</v>
      </c>
      <c r="K5" s="2" t="s">
        <v>55</v>
      </c>
      <c r="L5" s="3">
        <v>7.6450688444051798E-2</v>
      </c>
      <c r="N5" s="2" t="s">
        <v>55</v>
      </c>
      <c r="O5" s="3">
        <v>7.6572705397043653E-2</v>
      </c>
    </row>
    <row r="6" spans="1:15" x14ac:dyDescent="0.3">
      <c r="A6" t="s">
        <v>7</v>
      </c>
      <c r="B6">
        <v>173.3</v>
      </c>
      <c r="C6">
        <v>164.4</v>
      </c>
      <c r="D6">
        <v>170</v>
      </c>
      <c r="E6" t="str">
        <f>VLOOKUP(A6,'Broader Category'!A6:B31,2,FALSE)</f>
        <v>Food and Beverages</v>
      </c>
      <c r="H6" s="2" t="s">
        <v>16</v>
      </c>
      <c r="I6" s="3">
        <v>4.4434071307904319E-2</v>
      </c>
      <c r="K6" s="2" t="s">
        <v>52</v>
      </c>
      <c r="L6" s="3">
        <v>7.4489861880238747E-2</v>
      </c>
      <c r="N6" s="2" t="s">
        <v>52</v>
      </c>
      <c r="O6" s="3">
        <v>7.5369542798212438E-2</v>
      </c>
    </row>
    <row r="7" spans="1:15" x14ac:dyDescent="0.3">
      <c r="A7" t="s">
        <v>8</v>
      </c>
      <c r="B7">
        <v>169</v>
      </c>
      <c r="C7">
        <v>175.8</v>
      </c>
      <c r="D7">
        <v>172.2</v>
      </c>
      <c r="E7" t="str">
        <f>VLOOKUP(A7,'Broader Category'!A7:B32,2,FALSE)</f>
        <v>Food and Beverages</v>
      </c>
      <c r="H7" s="2" t="s">
        <v>23</v>
      </c>
      <c r="I7" s="3">
        <v>4.174446519071752E-2</v>
      </c>
      <c r="K7" s="2" t="s">
        <v>16</v>
      </c>
      <c r="L7" s="3">
        <v>4.4000086190178631E-2</v>
      </c>
      <c r="N7" s="2" t="s">
        <v>16</v>
      </c>
      <c r="O7" s="3">
        <v>4.3184943279477486E-2</v>
      </c>
    </row>
    <row r="8" spans="1:15" x14ac:dyDescent="0.3">
      <c r="A8" t="s">
        <v>9</v>
      </c>
      <c r="B8">
        <v>148.69999999999999</v>
      </c>
      <c r="C8">
        <v>185</v>
      </c>
      <c r="D8">
        <v>161</v>
      </c>
      <c r="E8" t="str">
        <f>VLOOKUP(A8,'Broader Category'!A8:B33,2,FALSE)</f>
        <v>Food and Beverages</v>
      </c>
      <c r="H8" s="2" t="s">
        <v>53</v>
      </c>
      <c r="I8" s="3">
        <v>4.0566373255090236E-2</v>
      </c>
      <c r="K8" s="2" t="s">
        <v>53</v>
      </c>
      <c r="L8" s="3">
        <v>3.9518196901463083E-2</v>
      </c>
      <c r="N8" s="2" t="s">
        <v>23</v>
      </c>
      <c r="O8" s="3">
        <v>3.9897731179099345E-2</v>
      </c>
    </row>
    <row r="9" spans="1:15" x14ac:dyDescent="0.3">
      <c r="A9" t="s">
        <v>10</v>
      </c>
      <c r="B9">
        <v>174.9</v>
      </c>
      <c r="C9">
        <v>176.9</v>
      </c>
      <c r="D9">
        <v>175.6</v>
      </c>
      <c r="E9" t="str">
        <f>VLOOKUP(A9,'Broader Category'!A9:B34,2,FALSE)</f>
        <v>Food and Beverages</v>
      </c>
      <c r="H9" s="2" t="s">
        <v>26</v>
      </c>
      <c r="I9" s="3">
        <v>4.0077353961056272E-2</v>
      </c>
      <c r="K9" s="2" t="s">
        <v>23</v>
      </c>
      <c r="L9" s="3">
        <v>3.9259626365575645E-2</v>
      </c>
      <c r="N9" s="2" t="s">
        <v>53</v>
      </c>
      <c r="O9" s="3">
        <v>3.9274664833276046E-2</v>
      </c>
    </row>
    <row r="10" spans="1:15" x14ac:dyDescent="0.3">
      <c r="A10" t="s">
        <v>11</v>
      </c>
      <c r="B10">
        <v>121.9</v>
      </c>
      <c r="C10">
        <v>124.2</v>
      </c>
      <c r="D10">
        <v>122.7</v>
      </c>
      <c r="E10" t="str">
        <f>VLOOKUP(A10,'Broader Category'!A10:B35,2,FALSE)</f>
        <v>Food and Beverages</v>
      </c>
      <c r="H10" s="2" t="s">
        <v>52</v>
      </c>
      <c r="I10" s="3">
        <v>3.9966213212412192E-2</v>
      </c>
      <c r="K10" s="2" t="s">
        <v>26</v>
      </c>
      <c r="L10" s="3">
        <v>3.766510806093646E-2</v>
      </c>
      <c r="N10" s="2" t="s">
        <v>26</v>
      </c>
      <c r="O10" s="3">
        <v>3.8050017188037126E-2</v>
      </c>
    </row>
    <row r="11" spans="1:15" x14ac:dyDescent="0.3">
      <c r="A11" t="s">
        <v>12</v>
      </c>
      <c r="B11">
        <v>221</v>
      </c>
      <c r="C11">
        <v>211.9</v>
      </c>
      <c r="D11">
        <v>218</v>
      </c>
      <c r="E11" t="str">
        <f>VLOOKUP(A11,'Broader Category'!A11:B36,2,FALSE)</f>
        <v>Food and Beverages</v>
      </c>
      <c r="H11" s="2" t="s">
        <v>28</v>
      </c>
      <c r="I11" s="3">
        <v>3.9899528763225736E-2</v>
      </c>
      <c r="K11" s="2" t="s">
        <v>28</v>
      </c>
      <c r="L11" s="3">
        <v>3.6975586631903298E-2</v>
      </c>
      <c r="N11" s="2" t="s">
        <v>28</v>
      </c>
      <c r="O11" s="3">
        <v>3.7749226538329322E-2</v>
      </c>
    </row>
    <row r="12" spans="1:15" x14ac:dyDescent="0.3">
      <c r="A12" t="s">
        <v>13</v>
      </c>
      <c r="B12">
        <v>178.7</v>
      </c>
      <c r="C12">
        <v>165.9</v>
      </c>
      <c r="D12">
        <v>173.4</v>
      </c>
      <c r="E12" t="str">
        <f>VLOOKUP(A12,'Broader Category'!A12:B37,2,FALSE)</f>
        <v>Food and Beverages</v>
      </c>
      <c r="H12" s="2" t="s">
        <v>54</v>
      </c>
      <c r="I12" s="3">
        <v>3.7721170089801713E-2</v>
      </c>
      <c r="K12" s="2" t="s">
        <v>54</v>
      </c>
      <c r="L12" s="3">
        <v>3.4562261630287236E-2</v>
      </c>
      <c r="N12" s="2" t="s">
        <v>54</v>
      </c>
      <c r="O12" s="3">
        <v>3.5407356479890004E-2</v>
      </c>
    </row>
    <row r="13" spans="1:15" x14ac:dyDescent="0.3">
      <c r="A13" t="s">
        <v>14</v>
      </c>
      <c r="B13">
        <v>191.1</v>
      </c>
      <c r="C13">
        <v>197.7</v>
      </c>
      <c r="D13">
        <v>194.2</v>
      </c>
      <c r="E13" t="str">
        <f>VLOOKUP(A13,'Broader Category'!A13:B38,2,FALSE)</f>
        <v>Food and Beverages</v>
      </c>
      <c r="H13" s="2" t="s">
        <v>58</v>
      </c>
      <c r="I13" s="3">
        <v>1</v>
      </c>
      <c r="K13" s="2" t="s">
        <v>58</v>
      </c>
      <c r="L13" s="3">
        <v>1</v>
      </c>
      <c r="N13" s="2" t="s">
        <v>58</v>
      </c>
      <c r="O13" s="3">
        <v>1</v>
      </c>
    </row>
    <row r="14" spans="1:15" x14ac:dyDescent="0.3">
      <c r="A14" t="s">
        <v>15</v>
      </c>
      <c r="B14">
        <v>176.8</v>
      </c>
      <c r="C14">
        <v>183.1</v>
      </c>
      <c r="D14">
        <v>179.1</v>
      </c>
      <c r="E14" t="str">
        <f>VLOOKUP(A14,'Broader Category'!A14:B39,2,FALSE)</f>
        <v>Food and Beverages</v>
      </c>
    </row>
    <row r="15" spans="1:15" x14ac:dyDescent="0.3">
      <c r="A15" t="s">
        <v>16</v>
      </c>
      <c r="B15">
        <v>199.9</v>
      </c>
      <c r="C15">
        <v>204.2</v>
      </c>
      <c r="D15">
        <v>201</v>
      </c>
      <c r="E15" t="str">
        <f>VLOOKUP(A15,'Broader Category'!A15:B40,2,FALSE)</f>
        <v>Pan, tobacco and intoxicants</v>
      </c>
    </row>
    <row r="16" spans="1:15" x14ac:dyDescent="0.3">
      <c r="A16" t="s">
        <v>17</v>
      </c>
      <c r="B16">
        <v>191.2</v>
      </c>
      <c r="C16">
        <v>181.3</v>
      </c>
      <c r="D16">
        <v>187.3</v>
      </c>
      <c r="E16" t="str">
        <f>VLOOKUP(A16,'Broader Category'!A16:B41,2,FALSE)</f>
        <v>Clothing and Footwear</v>
      </c>
    </row>
    <row r="17" spans="1:11" x14ac:dyDescent="0.3">
      <c r="A17" t="s">
        <v>18</v>
      </c>
      <c r="B17">
        <v>187.9</v>
      </c>
      <c r="C17">
        <v>168.1</v>
      </c>
      <c r="D17">
        <v>179.7</v>
      </c>
      <c r="E17" t="str">
        <f>VLOOKUP(A17,'Broader Category'!A17:B42,2,FALSE)</f>
        <v>Clothing and Footwear</v>
      </c>
      <c r="G17" s="25" t="s">
        <v>62</v>
      </c>
      <c r="H17" s="26" t="s">
        <v>63</v>
      </c>
      <c r="I17" s="27"/>
      <c r="J17" s="27"/>
      <c r="K17" s="27"/>
    </row>
    <row r="18" spans="1:11" x14ac:dyDescent="0.3">
      <c r="A18" t="s">
        <v>19</v>
      </c>
      <c r="B18">
        <v>190.8</v>
      </c>
      <c r="C18">
        <v>179.3</v>
      </c>
      <c r="D18">
        <v>186.2</v>
      </c>
      <c r="E18" t="str">
        <f>VLOOKUP(A18,'Broader Category'!A18:B43,2,FALSE)</f>
        <v>Clothing and Footwear</v>
      </c>
      <c r="G18" s="28"/>
      <c r="H18" s="26" t="s">
        <v>64</v>
      </c>
      <c r="I18" s="27"/>
      <c r="J18" s="27"/>
      <c r="K18" s="27"/>
    </row>
    <row r="19" spans="1:11" x14ac:dyDescent="0.3">
      <c r="A19" t="s">
        <v>20</v>
      </c>
      <c r="B19" t="s">
        <v>48</v>
      </c>
      <c r="C19">
        <v>175.6</v>
      </c>
      <c r="D19">
        <v>175.6</v>
      </c>
      <c r="E19" t="str">
        <f>VLOOKUP(A19,'Broader Category'!A19:B44,2,FALSE)</f>
        <v>Housing and Utilities</v>
      </c>
    </row>
    <row r="20" spans="1:11" x14ac:dyDescent="0.3">
      <c r="A20" t="s">
        <v>21</v>
      </c>
      <c r="B20">
        <v>182.5</v>
      </c>
      <c r="C20">
        <v>183.4</v>
      </c>
      <c r="D20">
        <v>182.8</v>
      </c>
      <c r="E20" t="str">
        <f>VLOOKUP(A20,'Broader Category'!A20:B45,2,FALSE)</f>
        <v>Energy</v>
      </c>
    </row>
    <row r="21" spans="1:11" x14ac:dyDescent="0.3">
      <c r="A21" t="s">
        <v>22</v>
      </c>
      <c r="B21">
        <v>179.8</v>
      </c>
      <c r="C21">
        <v>170.1</v>
      </c>
      <c r="D21">
        <v>175.2</v>
      </c>
      <c r="E21" t="str">
        <f>VLOOKUP(A21,'Broader Category'!A21:B46,2,FALSE)</f>
        <v>Housing and Utilities</v>
      </c>
    </row>
    <row r="22" spans="1:11" x14ac:dyDescent="0.3">
      <c r="A22" t="s">
        <v>23</v>
      </c>
      <c r="B22">
        <v>187.8</v>
      </c>
      <c r="C22">
        <v>182.2</v>
      </c>
      <c r="D22">
        <v>185.7</v>
      </c>
      <c r="E22" t="str">
        <f>VLOOKUP(A22,'Broader Category'!A22:B47,2,FALSE)</f>
        <v>Health</v>
      </c>
    </row>
    <row r="23" spans="1:11" x14ac:dyDescent="0.3">
      <c r="A23" t="s">
        <v>24</v>
      </c>
      <c r="B23">
        <v>169.7</v>
      </c>
      <c r="C23">
        <v>160.4</v>
      </c>
      <c r="D23">
        <v>164.8</v>
      </c>
      <c r="E23" t="str">
        <f>VLOOKUP(A23,'Broader Category'!A23:B48,2,FALSE)</f>
        <v>Transportation</v>
      </c>
    </row>
    <row r="24" spans="1:11" x14ac:dyDescent="0.3">
      <c r="A24" t="s">
        <v>25</v>
      </c>
      <c r="B24">
        <v>173.8</v>
      </c>
      <c r="C24">
        <v>169.2</v>
      </c>
      <c r="D24">
        <v>171.2</v>
      </c>
      <c r="E24" t="str">
        <f>VLOOKUP(A24,'Broader Category'!A24:B49,2,FALSE)</f>
        <v>Recreation and Personal Care</v>
      </c>
    </row>
    <row r="25" spans="1:11" x14ac:dyDescent="0.3">
      <c r="A25" t="s">
        <v>26</v>
      </c>
      <c r="B25">
        <v>180.3</v>
      </c>
      <c r="C25">
        <v>174.8</v>
      </c>
      <c r="D25">
        <v>177.1</v>
      </c>
      <c r="E25" t="str">
        <f>VLOOKUP(A25,'Broader Category'!A25:B50,2,FALSE)</f>
        <v>Education</v>
      </c>
    </row>
    <row r="26" spans="1:11" x14ac:dyDescent="0.3">
      <c r="A26" t="s">
        <v>27</v>
      </c>
      <c r="B26">
        <v>184.9</v>
      </c>
      <c r="C26">
        <v>185.6</v>
      </c>
      <c r="D26">
        <v>185.2</v>
      </c>
      <c r="E26" t="str">
        <f>VLOOKUP(A26,'Broader Category'!A26:B51,2,FALSE)</f>
        <v>Recreation and Personal Care</v>
      </c>
    </row>
    <row r="27" spans="1:11" x14ac:dyDescent="0.3">
      <c r="A27" t="s">
        <v>28</v>
      </c>
      <c r="B27">
        <v>179.5</v>
      </c>
      <c r="C27">
        <v>171.6</v>
      </c>
      <c r="D27">
        <v>175.7</v>
      </c>
      <c r="E27" t="str">
        <f>VLOOKUP(A27,'Broader Category'!A27:B52,2,FALSE)</f>
        <v>Miscellaneous</v>
      </c>
    </row>
  </sheetData>
  <conditionalFormatting sqref="N4">
    <cfRule type="top10" dxfId="2" priority="2" rank="1"/>
  </conditionalFormatting>
  <conditionalFormatting pivot="1" sqref="O3:O12">
    <cfRule type="top10" dxfId="1" priority="1" rank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7A3EB1-AD50-4DDE-A7B0-E359C93637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All_India_Index_Upto_April23 (1</vt:lpstr>
      <vt:lpstr>Food Bucket May22-23</vt:lpstr>
      <vt:lpstr>Onset of Covid19</vt:lpstr>
      <vt:lpstr>Rural+Urban 2017-23</vt:lpstr>
      <vt:lpstr>Oil Correl with others</vt:lpstr>
      <vt:lpstr>Broader Category</vt:lpstr>
      <vt:lpstr>DASHBOARD</vt:lpstr>
      <vt:lpstr>Ans5</vt:lpstr>
      <vt:lpstr>Ans4</vt:lpstr>
      <vt:lpstr>Ans3</vt:lpstr>
      <vt:lpstr>Ans2</vt:lpstr>
      <vt:lpstr>Ans1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SONALI UTEKAR</dc:creator>
  <cp:lastModifiedBy>a13559</cp:lastModifiedBy>
  <dcterms:created xsi:type="dcterms:W3CDTF">2025-12-28T13:07:16Z</dcterms:created>
  <dcterms:modified xsi:type="dcterms:W3CDTF">2026-01-09T07:28:12Z</dcterms:modified>
</cp:coreProperties>
</file>