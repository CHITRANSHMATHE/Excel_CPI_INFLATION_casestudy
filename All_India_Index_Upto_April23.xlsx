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8.xml" ContentType="application/vnd.openxmlformats-officedocument.spreadsheetml.pivotTab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CPI CASE STUDY\"/>
    </mc:Choice>
  </mc:AlternateContent>
  <xr:revisionPtr revIDLastSave="0" documentId="13_ncr:1_{2406B5E5-CFCF-4319-95A0-8B192FD89461}" xr6:coauthVersionLast="47" xr6:coauthVersionMax="47" xr10:uidLastSave="{00000000-0000-0000-0000-000000000000}"/>
  <bookViews>
    <workbookView xWindow="-108" yWindow="-108" windowWidth="23256" windowHeight="12456" firstSheet="3" activeTab="4" xr2:uid="{2B63D6E1-C8AD-4440-894E-2C947B9DF6E1}"/>
  </bookViews>
  <sheets>
    <sheet name="All_India_Index_Upto_April23 (1" sheetId="1" r:id="rId1"/>
    <sheet name="Food Bucket May22-23" sheetId="6" r:id="rId2"/>
    <sheet name="Rural+Urban 2017-23" sheetId="4" r:id="rId3"/>
    <sheet name="Broader Category" sheetId="3" r:id="rId4"/>
    <sheet name="DASHBOARD" sheetId="15" r:id="rId5"/>
    <sheet name="Ans 5(b)" sheetId="22" r:id="rId6"/>
    <sheet name="Ans5(a)" sheetId="21" r:id="rId7"/>
    <sheet name="Ans4" sheetId="20" r:id="rId8"/>
    <sheet name="Ans3" sheetId="7" r:id="rId9"/>
    <sheet name="Ans2" sheetId="16" r:id="rId10"/>
    <sheet name="Ans1" sheetId="2" r:id="rId11"/>
  </sheets>
  <definedNames>
    <definedName name="_xlnm._FilterDatabase" localSheetId="0" hidden="1">'All_India_Index_Upto_April23 (1'!$A$1:$AD$373</definedName>
    <definedName name="_xlnm._FilterDatabase" localSheetId="1" hidden="1">'Food Bucket May22-23'!$A$1:$R$40</definedName>
    <definedName name="_xlnm._FilterDatabase" localSheetId="2" hidden="1">'Rural+Urban 2017-23'!$A$1:$AD$89</definedName>
  </definedNames>
  <calcPr calcId="191029" iterate="1"/>
  <pivotCaches>
    <pivotCache cacheId="0" r:id="rId12"/>
    <pivotCache cacheId="1" r:id="rId13"/>
    <pivotCache cacheId="2" r:id="rId14"/>
    <pivotCache cacheId="3" r:id="rId15"/>
    <pivotCache cacheId="4" r:id="rId16"/>
    <pivotCache cacheId="5" r:id="rId17"/>
    <pivotCache cacheId="6" r:id="rId18"/>
    <pivotCache cacheId="7" r:id="rId1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8" i="22" l="1"/>
  <c r="H57" i="22"/>
  <c r="H56" i="22"/>
  <c r="H55" i="22"/>
  <c r="H54" i="22"/>
  <c r="H53" i="22"/>
  <c r="H52" i="22"/>
  <c r="H51" i="22"/>
  <c r="H50" i="22"/>
  <c r="H49" i="22"/>
  <c r="H48" i="22"/>
  <c r="H47" i="22"/>
  <c r="H46" i="22"/>
  <c r="H45" i="22"/>
  <c r="H44" i="22"/>
  <c r="H43" i="22"/>
  <c r="H42" i="22"/>
  <c r="H41" i="22"/>
  <c r="H40" i="22"/>
  <c r="H39" i="22"/>
  <c r="H38" i="22"/>
  <c r="H37" i="22"/>
  <c r="H36" i="22"/>
  <c r="H35" i="22"/>
  <c r="H34" i="22"/>
  <c r="H33" i="22"/>
  <c r="H32" i="22"/>
  <c r="D13" i="21"/>
  <c r="D14" i="21"/>
  <c r="D15" i="21"/>
  <c r="D16" i="21"/>
  <c r="D17" i="21"/>
  <c r="D18" i="21"/>
  <c r="D19" i="21"/>
  <c r="D20" i="21"/>
  <c r="D21" i="21"/>
  <c r="D22" i="21"/>
  <c r="D23" i="21"/>
  <c r="D24" i="21"/>
  <c r="D25" i="21"/>
  <c r="D26" i="21"/>
  <c r="D27" i="21"/>
  <c r="D28" i="21"/>
  <c r="D29" i="21"/>
  <c r="D30" i="21"/>
  <c r="D31" i="21"/>
  <c r="D32" i="21"/>
  <c r="D33" i="21"/>
  <c r="D34" i="21"/>
  <c r="D35" i="21"/>
  <c r="D36" i="21"/>
  <c r="D37" i="21"/>
  <c r="D38" i="21"/>
  <c r="D39" i="21"/>
  <c r="D40" i="21"/>
  <c r="D41" i="21"/>
  <c r="D42" i="21"/>
  <c r="D43" i="21"/>
  <c r="D44" i="21"/>
  <c r="D45" i="21"/>
  <c r="D12" i="21"/>
  <c r="D11" i="21"/>
  <c r="Z5" i="20"/>
  <c r="Z6" i="20"/>
  <c r="Z7" i="20"/>
  <c r="Z8" i="20"/>
  <c r="Z9" i="20"/>
  <c r="Z10" i="20"/>
  <c r="Z11" i="20"/>
  <c r="Z12" i="20"/>
  <c r="Z13" i="20"/>
  <c r="Z14" i="20"/>
  <c r="Z15" i="20"/>
  <c r="Z16" i="20"/>
  <c r="Z17" i="20"/>
  <c r="Z18" i="20"/>
  <c r="Z19" i="20"/>
  <c r="Z20" i="20"/>
  <c r="Z21" i="20"/>
  <c r="Z22" i="20"/>
  <c r="Z23" i="20"/>
  <c r="Z24" i="20"/>
  <c r="Z25" i="20"/>
  <c r="Z26" i="20"/>
  <c r="Z27" i="20"/>
  <c r="Z28" i="20"/>
  <c r="Z29" i="20"/>
  <c r="Z30" i="20"/>
  <c r="Z31" i="20"/>
  <c r="Z32" i="20"/>
  <c r="Z33" i="20"/>
  <c r="Z34" i="20"/>
  <c r="Z35" i="20"/>
  <c r="Z36" i="20"/>
  <c r="Z37" i="20"/>
  <c r="Z38" i="20"/>
  <c r="Z39" i="20"/>
  <c r="Z40" i="20"/>
  <c r="Z41" i="20"/>
  <c r="Z42" i="20"/>
  <c r="Z43" i="20"/>
  <c r="Z44" i="20"/>
  <c r="Z45" i="20"/>
  <c r="Z46" i="20"/>
  <c r="Z47" i="20"/>
  <c r="Z48" i="20"/>
  <c r="Z4" i="20"/>
  <c r="Z3" i="20"/>
  <c r="Z2" i="20"/>
  <c r="Y4" i="20"/>
  <c r="Y5" i="20"/>
  <c r="Y6" i="20"/>
  <c r="Y7" i="20"/>
  <c r="Y8" i="20"/>
  <c r="Y9" i="20"/>
  <c r="Y10" i="20"/>
  <c r="Y11" i="20"/>
  <c r="Y12" i="20"/>
  <c r="Y13" i="20"/>
  <c r="Y14" i="20"/>
  <c r="Y15" i="20"/>
  <c r="Y16" i="20"/>
  <c r="Y17" i="20"/>
  <c r="Y18" i="20"/>
  <c r="Y19" i="20"/>
  <c r="Y20" i="20"/>
  <c r="Y21" i="20"/>
  <c r="Y22" i="20"/>
  <c r="Y23" i="20"/>
  <c r="Y24" i="20"/>
  <c r="Y25" i="20"/>
  <c r="Y26" i="20"/>
  <c r="Y27" i="20"/>
  <c r="Y28" i="20"/>
  <c r="Y29" i="20"/>
  <c r="Y30" i="20"/>
  <c r="Y31" i="20"/>
  <c r="Y32" i="20"/>
  <c r="Y33" i="20"/>
  <c r="Y34" i="20"/>
  <c r="Y35" i="20"/>
  <c r="Y36" i="20"/>
  <c r="Y37" i="20"/>
  <c r="Y38" i="20"/>
  <c r="Y39" i="20"/>
  <c r="Y40" i="20"/>
  <c r="Y41" i="20"/>
  <c r="Y42" i="20"/>
  <c r="Y43" i="20"/>
  <c r="Y44" i="20"/>
  <c r="Y45" i="20"/>
  <c r="Y46" i="20"/>
  <c r="Y47" i="20"/>
  <c r="Y48" i="20"/>
  <c r="Y3" i="20"/>
  <c r="X3" i="20"/>
  <c r="X4" i="20"/>
  <c r="X5" i="20"/>
  <c r="X6" i="20"/>
  <c r="X7" i="20"/>
  <c r="X8" i="20"/>
  <c r="X9" i="20"/>
  <c r="X10" i="20"/>
  <c r="X11" i="20"/>
  <c r="X12" i="20"/>
  <c r="X13" i="20"/>
  <c r="X14" i="20"/>
  <c r="X15" i="20"/>
  <c r="X16" i="20"/>
  <c r="X17" i="20"/>
  <c r="X18" i="20"/>
  <c r="X19" i="20"/>
  <c r="X20" i="20"/>
  <c r="X21" i="20"/>
  <c r="X22" i="20"/>
  <c r="X23" i="20"/>
  <c r="X24" i="20"/>
  <c r="X25" i="20"/>
  <c r="X26" i="20"/>
  <c r="X27" i="20"/>
  <c r="X28" i="20"/>
  <c r="X29" i="20"/>
  <c r="X30" i="20"/>
  <c r="X31" i="20"/>
  <c r="X32" i="20"/>
  <c r="X33" i="20"/>
  <c r="X34" i="20"/>
  <c r="X35" i="20"/>
  <c r="X36" i="20"/>
  <c r="X37" i="20"/>
  <c r="X38" i="20"/>
  <c r="X39" i="20"/>
  <c r="X40" i="20"/>
  <c r="X41" i="20"/>
  <c r="X42" i="20"/>
  <c r="X43" i="20"/>
  <c r="X44" i="20"/>
  <c r="X45" i="20"/>
  <c r="X46" i="20"/>
  <c r="X47" i="20"/>
  <c r="X48" i="20"/>
  <c r="X2" i="20"/>
  <c r="E3" i="7"/>
  <c r="G3" i="7"/>
  <c r="I7" i="16"/>
  <c r="I6" i="16"/>
  <c r="I5" i="16"/>
  <c r="I4" i="16"/>
  <c r="I3" i="16"/>
  <c r="I2" i="16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E4" i="7"/>
  <c r="E5" i="7"/>
  <c r="E6" i="7"/>
  <c r="E7" i="7"/>
  <c r="E8" i="7"/>
  <c r="G8" i="7" s="1"/>
  <c r="E9" i="7"/>
  <c r="E10" i="7"/>
  <c r="E11" i="7"/>
  <c r="E12" i="7"/>
  <c r="E13" i="7"/>
  <c r="G4" i="7"/>
  <c r="G7" i="7"/>
  <c r="G9" i="7"/>
  <c r="G10" i="7"/>
  <c r="E2" i="7"/>
  <c r="G2" i="7" s="1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E40" i="7"/>
  <c r="F2" i="7"/>
  <c r="F3" i="7"/>
  <c r="F4" i="7"/>
  <c r="F5" i="7"/>
  <c r="F6" i="7"/>
  <c r="F7" i="7"/>
  <c r="F8" i="7"/>
  <c r="F9" i="7"/>
  <c r="F10" i="7"/>
  <c r="F11" i="7"/>
  <c r="F12" i="7"/>
  <c r="F13" i="7"/>
  <c r="G13" i="7"/>
  <c r="G12" i="7"/>
  <c r="G11" i="7"/>
  <c r="G6" i="7"/>
  <c r="G5" i="7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3" i="6"/>
  <c r="R2" i="6"/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02798B-41BD-41E2-A541-53DFB0E41D96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C9F99F61-680C-48D0-939A-E0C38852DF82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<sst xmlns="http://schemas.openxmlformats.org/spreadsheetml/2006/main" count="1945" uniqueCount="130">
  <si>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</si>
  <si>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</si>
  <si>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</si>
  <si>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</si>
  <si>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</si>
  <si>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</si>
  <si>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</si>
  <si>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</si>
  <si>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</si>
  <si>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</si>
  <si>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</si>
  <si>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</si>
  <si>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</si>
  <si>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</si>
  <si>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</si>
  <si>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</si>
  <si>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</si>
  <si>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</si>
  <si>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</si>
  <si>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</si>
  <si>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</si>
  <si>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</si>
  <si>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</si>
  <si>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</si>
  <si>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</si>
  <si>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</si>
  <si>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</si>
  <si>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</si>
  <si>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</si>
  <si>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</si>
  <si>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</si>
  <si>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</si>
  <si>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</si>
  <si>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</si>
  <si>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</si>
  <si>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</si>
  <si>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</si>
  <si>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</si>
  <si>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</si>
  <si>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</si>
  <si>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</si>
  <si>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</si>
  <si>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</si>
  <si>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</si>
  <si>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</si>
  <si>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</si>
  <si>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</si>
  <si>
    <t>Marcrh</t>
  </si>
  <si>
    <t>-</t>
  </si>
  <si>
    <t>Broader Category</t>
  </si>
  <si>
    <t>Food and Beverages</t>
  </si>
  <si>
    <t>Clothing and Footwear</t>
  </si>
  <si>
    <t>Housing and Utilities</t>
  </si>
  <si>
    <t>Energy</t>
  </si>
  <si>
    <t>Transportation</t>
  </si>
  <si>
    <t>Recreation and Personal Care</t>
  </si>
  <si>
    <t>Category</t>
  </si>
  <si>
    <t>Row Labels</t>
  </si>
  <si>
    <t>Grand Total</t>
  </si>
  <si>
    <t>Rural%</t>
  </si>
  <si>
    <t>Urban%</t>
  </si>
  <si>
    <t>Rural+Urban%</t>
  </si>
  <si>
    <t>INSIGHT-</t>
  </si>
  <si>
    <t>Food and Beverages has the highest contribution towards CPI calculation</t>
  </si>
  <si>
    <t>It contributes around 50.92% in Rural, 50.32% in Urban and 49.56% in Rural+Urban</t>
  </si>
  <si>
    <t>Insight-</t>
  </si>
  <si>
    <t>Broader Food and Beverages</t>
  </si>
  <si>
    <t>Monthly Inflation Rate</t>
  </si>
  <si>
    <t>Month Yearwise</t>
  </si>
  <si>
    <t>April2023</t>
  </si>
  <si>
    <t>August2022</t>
  </si>
  <si>
    <t>December2022</t>
  </si>
  <si>
    <t>February2023</t>
  </si>
  <si>
    <t>January2023</t>
  </si>
  <si>
    <t>July2022</t>
  </si>
  <si>
    <t>June2022</t>
  </si>
  <si>
    <t>March2023</t>
  </si>
  <si>
    <t>May2023</t>
  </si>
  <si>
    <t>November2022</t>
  </si>
  <si>
    <t>October2022</t>
  </si>
  <si>
    <t>September2022</t>
  </si>
  <si>
    <t>Monthly Inflation Rate%</t>
  </si>
  <si>
    <t>Absolute change in inflation</t>
  </si>
  <si>
    <t>Abs change in inflation</t>
  </si>
  <si>
    <t>June month of 2022 has highest change in inflation and Feb 2023 has the lowest inflation rate in the 12-month analysis</t>
  </si>
  <si>
    <t>Absolute change in Inflation in the same 12 month period</t>
  </si>
  <si>
    <t>Q3.2</t>
  </si>
  <si>
    <t>Change in Inflation in 12 month</t>
  </si>
  <si>
    <t>In Food and Beverages broader category, SPICES in the biggest individual contributor towards inflation</t>
  </si>
  <si>
    <t>Annual Inflation Rate is Calculated by a formula ((CPI at the end of that year-CPI at the start of that year)/CPI at the start of the year)*100)</t>
  </si>
  <si>
    <t>Monthly CPI rate is calculated by ((CPI of the Current month-CPI of the previous month)/CPI of the previous month)*100)</t>
  </si>
  <si>
    <t>*Calculation is done on Rural+Urban Data</t>
  </si>
  <si>
    <t xml:space="preserve">Insight- </t>
  </si>
  <si>
    <t>FoodCategory</t>
  </si>
  <si>
    <t>YEARS</t>
  </si>
  <si>
    <t>YEARLY INFLATION</t>
  </si>
  <si>
    <t>YEAR</t>
  </si>
  <si>
    <t>Insight</t>
  </si>
  <si>
    <t>India’s high inflation in 2019 was driven by supply-side food and fuel shocks rather than excess demand,</t>
  </si>
  <si>
    <t xml:space="preserve"> making it a case of cost-push inflation amid slowing growth</t>
  </si>
  <si>
    <t>ANNUAL INFLATION RATE</t>
  </si>
  <si>
    <t>Broader Food&amp;Beverages</t>
  </si>
  <si>
    <t>MONTHS</t>
  </si>
  <si>
    <t>Average</t>
  </si>
  <si>
    <t>Change in Inflation</t>
  </si>
  <si>
    <t>%Change in Inflation</t>
  </si>
  <si>
    <t>2021-22</t>
  </si>
  <si>
    <t>2022-23</t>
  </si>
  <si>
    <t>2023-24</t>
  </si>
  <si>
    <t>Time Period</t>
  </si>
  <si>
    <t xml:space="preserve"> while the post-onset period is characterized by higher volatility</t>
  </si>
  <si>
    <t>Sharper reversals, and reduced predictability.</t>
  </si>
  <si>
    <t>March 2020 marks a structural break.</t>
  </si>
  <si>
    <t>The period before shows stable, low-volatility behavior</t>
  </si>
  <si>
    <t>Imported Crude Oil Price</t>
  </si>
  <si>
    <t>Change Mom</t>
  </si>
  <si>
    <t>Apr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</si>
  <si>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</si>
  <si>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</si>
  <si>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</si>
  <si>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</si>
  <si>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</si>
  <si>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</si>
  <si>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</si>
  <si>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</si>
  <si>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</si>
  <si>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</si>
  <si>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%Change Mom</t>
  </si>
  <si>
    <t>CORELL WITH OTHER CPI</t>
  </si>
  <si>
    <t>Imported Crude Oil has highest correlation with Oils and Fats of 0.75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</si>
</sst>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mmm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8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/>
  </cellStyleXfs>
  <cellXfs count="5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8" fillId="0" borderId="0" xfId="0" applyFont="1"/>
    <xf numFmtId="164" fontId="0" fillId="0" borderId="0" xfId="0" applyNumberFormat="1"/>
    <xf numFmtId="2" fontId="0" fillId="0" borderId="0" xfId="0" applyNumberFormat="1"/>
    <xf numFmtId="10" fontId="0" fillId="33" borderId="10" xfId="0" applyNumberFormat="1" applyFill="1" applyBorder="1"/>
    <xf numFmtId="0" fontId="0" fillId="0" borderId="14" xfId="0" applyBorder="1"/>
    <xf numFmtId="0" fontId="0" fillId="34" borderId="13" xfId="0" applyFill="1" applyBorder="1"/>
    <xf numFmtId="10" fontId="0" fillId="0" borderId="14" xfId="0" applyNumberFormat="1" applyBorder="1"/>
    <xf numFmtId="0" fontId="16" fillId="0" borderId="0" xfId="0" applyFont="1"/>
    <xf numFmtId="0" fontId="19" fillId="0" borderId="0" xfId="0" applyFont="1"/>
    <xf numFmtId="0" fontId="0" fillId="0" borderId="0" xfId="0" applyAlignment="1">
      <alignment horizontal="left" indent="1"/>
    </xf>
    <xf numFmtId="0" fontId="20" fillId="35" borderId="12" xfId="0" applyFont="1" applyFill="1" applyBorder="1"/>
    <xf numFmtId="0" fontId="20" fillId="35" borderId="15" xfId="0" applyFont="1" applyFill="1" applyBorder="1"/>
    <xf numFmtId="0" fontId="18" fillId="35" borderId="10" xfId="0" applyFont="1" applyFill="1" applyBorder="1"/>
    <xf numFmtId="0" fontId="20" fillId="35" borderId="10" xfId="0" applyFont="1" applyFill="1" applyBorder="1"/>
    <xf numFmtId="0" fontId="16" fillId="35" borderId="10" xfId="0" applyFont="1" applyFill="1" applyBorder="1"/>
    <xf numFmtId="0" fontId="0" fillId="35" borderId="10" xfId="0" applyFill="1" applyBorder="1"/>
    <xf numFmtId="0" fontId="18" fillId="35" borderId="16" xfId="0" applyFont="1" applyFill="1" applyBorder="1"/>
    <xf numFmtId="0" fontId="20" fillId="35" borderId="13" xfId="0" applyFont="1" applyFill="1" applyBorder="1"/>
    <xf numFmtId="0" fontId="20" fillId="35" borderId="17" xfId="0" applyFont="1" applyFill="1" applyBorder="1"/>
    <xf numFmtId="0" fontId="0" fillId="35" borderId="20" xfId="0" applyFill="1" applyBorder="1"/>
    <xf numFmtId="0" fontId="20" fillId="35" borderId="14" xfId="0" applyFont="1" applyFill="1" applyBorder="1"/>
    <xf numFmtId="0" fontId="20" fillId="35" borderId="21" xfId="0" applyFont="1" applyFill="1" applyBorder="1"/>
    <xf numFmtId="0" fontId="16" fillId="35" borderId="12" xfId="0" applyFont="1" applyFill="1" applyBorder="1"/>
    <xf numFmtId="0" fontId="16" fillId="35" borderId="15" xfId="0" applyFont="1" applyFill="1" applyBorder="1"/>
    <xf numFmtId="0" fontId="20" fillId="35" borderId="11" xfId="0" applyFont="1" applyFill="1" applyBorder="1"/>
    <xf numFmtId="0" fontId="0" fillId="35" borderId="18" xfId="0" applyFill="1" applyBorder="1"/>
    <xf numFmtId="0" fontId="20" fillId="35" borderId="0" xfId="0" applyFont="1" applyFill="1"/>
    <xf numFmtId="0" fontId="20" fillId="35" borderId="19" xfId="0" applyFont="1" applyFill="1" applyBorder="1"/>
    <xf numFmtId="0" fontId="0" fillId="35" borderId="14" xfId="0" applyFill="1" applyBorder="1"/>
    <xf numFmtId="0" fontId="0" fillId="35" borderId="21" xfId="0" applyFill="1" applyBorder="1"/>
    <xf numFmtId="17" fontId="0" fillId="0" borderId="0" xfId="0" applyNumberFormat="1"/>
    <xf numFmtId="165" fontId="22" fillId="0" borderId="10" xfId="42" quotePrefix="1" applyNumberFormat="1" applyFont="1" applyBorder="1" applyAlignment="1">
      <alignment horizontal="left" vertical="center"/>
    </xf>
    <xf numFmtId="4" fontId="23" fillId="0" borderId="10" xfId="0" applyNumberFormat="1" applyFont="1" applyBorder="1" applyAlignment="1">
      <alignment horizontal="right" vertical="center"/>
    </xf>
    <xf numFmtId="165" fontId="22" fillId="33" borderId="10" xfId="42" applyNumberFormat="1" applyFont="1" applyFill="1" applyBorder="1" applyAlignment="1">
      <alignment horizontal="right" vertical="center"/>
    </xf>
    <xf numFmtId="0" fontId="0" fillId="0" borderId="10" xfId="0" applyBorder="1"/>
    <xf numFmtId="0" fontId="0" fillId="34" borderId="10" xfId="0" applyFill="1" applyBorder="1"/>
    <xf numFmtId="10" fontId="0" fillId="34" borderId="10" xfId="0" applyNumberFormat="1" applyFill="1" applyBorder="1"/>
    <xf numFmtId="10" fontId="0" fillId="0" borderId="10" xfId="0" applyNumberFormat="1" applyBorder="1"/>
    <xf numFmtId="0" fontId="0" fillId="0" borderId="22" xfId="0" applyBorder="1"/>
    <xf numFmtId="165" fontId="22" fillId="33" borderId="22" xfId="42" applyNumberFormat="1" applyFont="1" applyFill="1" applyBorder="1" applyAlignment="1">
      <alignment horizontal="right" vertical="center"/>
    </xf>
    <xf numFmtId="4" fontId="23" fillId="0" borderId="22" xfId="0" applyNumberFormat="1" applyFont="1" applyBorder="1" applyAlignment="1">
      <alignment horizontal="right" vertical="center"/>
    </xf>
    <xf numFmtId="4" fontId="23" fillId="0" borderId="0" xfId="0" applyNumberFormat="1" applyFont="1" applyAlignment="1">
      <alignment horizontal="right" vertical="center"/>
    </xf>
    <xf numFmtId="165" fontId="22" fillId="0" borderId="0" xfId="42" applyNumberFormat="1" applyFont="1" applyAlignment="1">
      <alignment horizontal="right" vertical="center"/>
    </xf>
    <xf numFmtId="0" fontId="0" fillId="34" borderId="0" xfId="0" applyFill="1"/>
    <xf numFmtId="0" fontId="16" fillId="36" borderId="0" xfId="0" applyFont="1" applyFill="1"/>
    <xf numFmtId="0" fontId="0" fillId="36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4" xfId="42" xr:uid="{699318BF-93F0-4B7C-84CC-8CE112C769BB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pivotCacheDefinition" Target="pivotCache/pivotCacheDefinition7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6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5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[All_India_Index_Upto_April23.xlsx]Ans1!PivotTable3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Food</a:t>
            </a:r>
            <a:r>
              <a:rPr lang="en-US" baseline="0"/>
              <a:t> and Beverages has highest 49.56% contribution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'Ans1'!$O$2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'Ans1'!$N$3:$N$13</c:f>
              <c:strCache>
                <c:ptCount val="10"/>
                <c:pt idx="0">
                  <c:v>Food and Beverages</c:v>
                </c:pt>
                <c:pt idx="1">
                  <c:v>Clothing and Footwear</c:v>
                </c:pt>
                <c:pt idx="2">
                  <c:v>Recreation and Personal Care</c:v>
                </c:pt>
                <c:pt idx="3">
                  <c:v>Housing and Utilities</c:v>
                </c:pt>
                <c:pt idx="4">
                  <c:v>Pan, tobacco and intoxicants</c:v>
                </c:pt>
                <c:pt idx="5">
                  <c:v>Health</c:v>
                </c:pt>
                <c:pt idx="6">
                  <c:v>Energy</c:v>
                </c:pt>
                <c:pt idx="7">
                  <c:v>Education</c:v>
                </c:pt>
                <c:pt idx="8">
                  <c:v>Miscellaneous</c:v>
                </c:pt>
                <c:pt idx="9">
                  <c:v>Transportation</c:v>
                </c:pt>
              </c:strCache>
            </c:strRef>
          </c:cat>
          <c:val>
            <c:numRef>
              <c:f>'Ans1'!$O$3:$O$13</c:f>
              <c:numCache>
                <c:formatCode>0.00%</c:formatCode>
                <c:ptCount val="10"/>
                <c:pt idx="0">
                  <c:v>0.49563853557923693</c:v>
                </c:pt>
                <c:pt idx="1">
                  <c:v>0.11885527672739775</c:v>
                </c:pt>
                <c:pt idx="2">
                  <c:v>7.6572705397043653E-2</c:v>
                </c:pt>
                <c:pt idx="3">
                  <c:v>7.5369542798212438E-2</c:v>
                </c:pt>
                <c:pt idx="4">
                  <c:v>4.3184943279477486E-2</c:v>
                </c:pt>
                <c:pt idx="5">
                  <c:v>3.9897731179099345E-2</c:v>
                </c:pt>
                <c:pt idx="6">
                  <c:v>3.9274664833276046E-2</c:v>
                </c:pt>
                <c:pt idx="7">
                  <c:v>3.8050017188037126E-2</c:v>
                </c:pt>
                <c:pt idx="8">
                  <c:v>3.7749226538329322E-2</c:v>
                </c:pt>
                <c:pt idx="9">
                  <c:v>3.5407356479890004E-2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9D-41E1-8FB8-ABC67621D76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791717136"/>
        <c:axId val="879805136"/>
      </c:barChart>
      <c:catAx>
        <c:axId val="791717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805136"/>
        <c:crosses val="autoZero"/>
        <c:auto val="1"/>
        <c:lblAlgn val="ctr"/>
        <c:lblOffset val="100"/>
        <c:noMultiLvlLbl val="0"/>
      </c:catAx>
      <c:valAx>
        <c:axId val="879805136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717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[All_India_Index_Upto_April23.xlsx]Ans5(a)!PivotTable13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Imported Oil Price -March 2022 shows highest change 19.99% while Dec 20222 shows the lowest -10.8%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3716635830357271E-2"/>
              <c:y val="4.268505454159270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4184152527382166E-2"/>
              <c:y val="3.44274162261509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2346690953248332E-2"/>
              <c:y val="2.616977791070913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6.270491803278691E-2"/>
              <c:y val="1.515959349011999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5.6633272616879171E-2"/>
              <c:y val="3.44274162261510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2346690953248387E-2"/>
              <c:y val="3.71799623312981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5.1760777170613238E-3"/>
              <c:y val="3.167487012100356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1.3038858530661921E-2"/>
              <c:y val="3.717996233129828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8.6369156041287195E-3"/>
              <c:y val="6.901955174678208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6.1187006678809955E-2"/>
              <c:y val="2.341723180556187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1.9630418465451271E-2"/>
              <c:y val="5.36952389621817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7.0294474802671522E-2"/>
              <c:y val="-1.355683140763473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4.7055251973284758E-4"/>
              <c:y val="-1.236586756135251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0255797943289985E-2"/>
              <c:y val="4.268505454159275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386460230722526E-2"/>
              <c:y val="2.892232401585629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1.5076684403520599E-2"/>
              <c:y val="-3.16336902973834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9363266067151445E-2"/>
              <c:y val="-4.264387471797244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1.5649666059502125E-2"/>
              <c:y val="-5.640660524370869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9.5780206435944135E-3"/>
              <c:y val="3.44274162261509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1.5281542676018013E-2"/>
              <c:y val="-2.337605198194161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4.9988645544989933E-2"/>
              <c:y val="-5.640660524370869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5.9669095324833055E-2"/>
              <c:y val="-9.613321456205256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7.4871276336359593E-3"/>
              <c:y val="-1.51184136664997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4184152527382166E-2"/>
              <c:y val="3.44274162261509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7.4871276336359593E-3"/>
              <c:y val="-1.51184136664997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2346690953248332E-2"/>
              <c:y val="2.616977791070913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4.9988645544989933E-2"/>
              <c:y val="-5.640660524370869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5.9669095324833055E-2"/>
              <c:y val="-9.613321456205256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6.270491803278691E-2"/>
              <c:y val="1.515959349011999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3716635830357271E-2"/>
              <c:y val="4.268505454159270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5.6633272616879171E-2"/>
              <c:y val="3.44274162261510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1.5281542676018013E-2"/>
              <c:y val="-2.337605198194161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2346690953248387E-2"/>
              <c:y val="3.71799623312981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9.5780206435944135E-3"/>
              <c:y val="3.44274162261509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1.5649666059502125E-2"/>
              <c:y val="-5.640660524370869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5.1760777170613238E-3"/>
              <c:y val="3.167487012100356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9363266067151445E-2"/>
              <c:y val="-4.264387471797244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1.5076684403520599E-2"/>
              <c:y val="-3.16336902973834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386460230722526E-2"/>
              <c:y val="2.892232401585629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1.3038858530661921E-2"/>
              <c:y val="3.717996233129828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4.7055251973284758E-4"/>
              <c:y val="-1.236586756135251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0255797943289985E-2"/>
              <c:y val="4.268505454159275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7.0294474802671522E-2"/>
              <c:y val="-1.355683140763473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6.1187006678809955E-2"/>
              <c:y val="2.341723180556187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8.6369156041287195E-3"/>
              <c:y val="6.901955174678208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1.9630418465451271E-2"/>
              <c:y val="5.36952389621817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4184152527382166E-2"/>
              <c:y val="3.44274162261509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7.4871276336359593E-3"/>
              <c:y val="-1.51184136664997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2346690953248332E-2"/>
              <c:y val="2.616977791070913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4.9988645544989933E-2"/>
              <c:y val="-5.640660524370869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5.9669095324833055E-2"/>
              <c:y val="-9.613321456205256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6.270491803278691E-2"/>
              <c:y val="1.515959349011999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3716635830357271E-2"/>
              <c:y val="4.268505454159270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5.6633272616879171E-2"/>
              <c:y val="3.44274162261510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1.5281542676018013E-2"/>
              <c:y val="-2.337605198194161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2346690953248387E-2"/>
              <c:y val="3.71799623312981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9.5780206435944135E-3"/>
              <c:y val="3.44274162261509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1.5649666059502125E-2"/>
              <c:y val="-5.640660524370869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5.1760777170613238E-3"/>
              <c:y val="3.167487012100356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9363266067151445E-2"/>
              <c:y val="-4.264387471797244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1.5076684403520599E-2"/>
              <c:y val="-3.16336902973834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386460230722526E-2"/>
              <c:y val="2.892232401585629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1.3038858530661921E-2"/>
              <c:y val="3.717996233129828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4.7055251973284758E-4"/>
              <c:y val="-1.236586756135251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0255797943289985E-2"/>
              <c:y val="4.268505454159275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7.0294474802671522E-2"/>
              <c:y val="-1.355683140763473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6.1187006678809955E-2"/>
              <c:y val="2.341723180556187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8.6369156041287195E-3"/>
              <c:y val="6.901955174678208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1.9630418465451271E-2"/>
              <c:y val="5.36952389621817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'Ans5(a)'!$B$51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Pt>
            <c:idx val="0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B61-47F2-BED9-06DCE9DAA4D2}"/>
              </c:ext>
            </c:extLst>
          </c:dPt>
          <c:dPt>
            <c:idx val="3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B61-47F2-BED9-06DCE9DAA4D2}"/>
              </c:ext>
            </c:extLst>
          </c:dPt>
          <c:dPt>
            <c:idx val="4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B61-47F2-BED9-06DCE9DAA4D2}"/>
              </c:ext>
            </c:extLst>
          </c:dPt>
          <c:dPt>
            <c:idx val="5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B61-47F2-BED9-06DCE9DAA4D2}"/>
              </c:ext>
            </c:extLst>
          </c:dPt>
          <c:dPt>
            <c:idx val="7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B61-47F2-BED9-06DCE9DAA4D2}"/>
              </c:ext>
            </c:extLst>
          </c:dPt>
          <c:dPt>
            <c:idx val="8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2B61-47F2-BED9-06DCE9DAA4D2}"/>
              </c:ext>
            </c:extLst>
          </c:dPt>
          <c:dPt>
            <c:idx val="10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2B61-47F2-BED9-06DCE9DAA4D2}"/>
              </c:ext>
            </c:extLst>
          </c:dPt>
          <c:dPt>
            <c:idx val="12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2B61-47F2-BED9-06DCE9DAA4D2}"/>
              </c:ext>
            </c:extLst>
          </c:dPt>
          <c:dPt>
            <c:idx val="14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2B61-47F2-BED9-06DCE9DAA4D2}"/>
              </c:ext>
            </c:extLst>
          </c:dPt>
          <c:dPt>
            <c:idx val="15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2B61-47F2-BED9-06DCE9DAA4D2}"/>
              </c:ext>
            </c:extLst>
          </c:dPt>
          <c:dPt>
            <c:idx val="17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2B61-47F2-BED9-06DCE9DAA4D2}"/>
              </c:ext>
            </c:extLst>
          </c:dPt>
          <c:dPt>
            <c:idx val="19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2B61-47F2-BED9-06DCE9DAA4D2}"/>
              </c:ext>
            </c:extLst>
          </c:dPt>
          <c:dPt>
            <c:idx val="20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2B61-47F2-BED9-06DCE9DAA4D2}"/>
              </c:ext>
            </c:extLst>
          </c:dPt>
          <c:dPt>
            <c:idx val="21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2B61-47F2-BED9-06DCE9DAA4D2}"/>
              </c:ext>
            </c:extLst>
          </c:dPt>
          <c:dPt>
            <c:idx val="22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2B61-47F2-BED9-06DCE9DAA4D2}"/>
              </c:ext>
            </c:extLst>
          </c:dPt>
          <c:dPt>
            <c:idx val="23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2B61-47F2-BED9-06DCE9DAA4D2}"/>
              </c:ext>
            </c:extLst>
          </c:dPt>
          <c:dPt>
            <c:idx val="25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2B61-47F2-BED9-06DCE9DAA4D2}"/>
              </c:ext>
            </c:extLst>
          </c:dPt>
          <c:dPt>
            <c:idx val="26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2B61-47F2-BED9-06DCE9DAA4D2}"/>
              </c:ext>
            </c:extLst>
          </c:dPt>
          <c:dPt>
            <c:idx val="28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2B61-47F2-BED9-06DCE9DAA4D2}"/>
              </c:ext>
            </c:extLst>
          </c:dPt>
          <c:dPt>
            <c:idx val="30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2B61-47F2-BED9-06DCE9DAA4D2}"/>
              </c:ext>
            </c:extLst>
          </c:dPt>
          <c:dPt>
            <c:idx val="31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2B61-47F2-BED9-06DCE9DAA4D2}"/>
              </c:ext>
            </c:extLst>
          </c:dPt>
          <c:dPt>
            <c:idx val="32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2B61-47F2-BED9-06DCE9DAA4D2}"/>
              </c:ext>
            </c:extLst>
          </c:dPt>
          <c:dPt>
            <c:idx val="34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2B61-47F2-BED9-06DCE9DAA4D2}"/>
              </c:ext>
            </c:extLst>
          </c:dPt>
          <c:dLbls>
            <c:dLbl>
              <c:idx val="0"/>
              <c:layout>
                <c:manualLayout>
                  <c:x val="-2.4184152527382166E-2"/>
                  <c:y val="3.4427416226150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B61-47F2-BED9-06DCE9DAA4D2}"/>
                </c:ext>
              </c:extLst>
            </c:dLbl>
            <c:dLbl>
              <c:idx val="3"/>
              <c:layout>
                <c:manualLayout>
                  <c:x val="-7.4871276336359593E-3"/>
                  <c:y val="-1.5118413666499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B61-47F2-BED9-06DCE9DAA4D2}"/>
                </c:ext>
              </c:extLst>
            </c:dLbl>
            <c:dLbl>
              <c:idx val="4"/>
              <c:layout>
                <c:manualLayout>
                  <c:x val="-3.2346690953248332E-2"/>
                  <c:y val="2.61697779107091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B61-47F2-BED9-06DCE9DAA4D2}"/>
                </c:ext>
              </c:extLst>
            </c:dLbl>
            <c:dLbl>
              <c:idx val="5"/>
              <c:layout>
                <c:manualLayout>
                  <c:x val="-4.9988645544989933E-2"/>
                  <c:y val="-5.64066052437086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B61-47F2-BED9-06DCE9DAA4D2}"/>
                </c:ext>
              </c:extLst>
            </c:dLbl>
            <c:dLbl>
              <c:idx val="7"/>
              <c:layout>
                <c:manualLayout>
                  <c:x val="-5.9669095324833055E-2"/>
                  <c:y val="-9.6133214562052569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B61-47F2-BED9-06DCE9DAA4D2}"/>
                </c:ext>
              </c:extLst>
            </c:dLbl>
            <c:dLbl>
              <c:idx val="8"/>
              <c:layout>
                <c:manualLayout>
                  <c:x val="-6.270491803278691E-2"/>
                  <c:y val="1.51595934901199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B61-47F2-BED9-06DCE9DAA4D2}"/>
                </c:ext>
              </c:extLst>
            </c:dLbl>
            <c:dLbl>
              <c:idx val="10"/>
              <c:layout>
                <c:manualLayout>
                  <c:x val="-3.3716635830357271E-2"/>
                  <c:y val="4.26850545415927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B61-47F2-BED9-06DCE9DAA4D2}"/>
                </c:ext>
              </c:extLst>
            </c:dLbl>
            <c:dLbl>
              <c:idx val="12"/>
              <c:layout>
                <c:manualLayout>
                  <c:x val="-5.6633272616879171E-2"/>
                  <c:y val="3.44274162261510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B61-47F2-BED9-06DCE9DAA4D2}"/>
                </c:ext>
              </c:extLst>
            </c:dLbl>
            <c:dLbl>
              <c:idx val="14"/>
              <c:layout>
                <c:manualLayout>
                  <c:x val="1.5281542676018013E-2"/>
                  <c:y val="-2.33760519819416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B61-47F2-BED9-06DCE9DAA4D2}"/>
                </c:ext>
              </c:extLst>
            </c:dLbl>
            <c:dLbl>
              <c:idx val="15"/>
              <c:layout>
                <c:manualLayout>
                  <c:x val="-3.2346690953248387E-2"/>
                  <c:y val="3.7179962331298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B61-47F2-BED9-06DCE9DAA4D2}"/>
                </c:ext>
              </c:extLst>
            </c:dLbl>
            <c:dLbl>
              <c:idx val="17"/>
              <c:layout>
                <c:manualLayout>
                  <c:x val="-9.5780206435944135E-3"/>
                  <c:y val="3.4427416226150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B61-47F2-BED9-06DCE9DAA4D2}"/>
                </c:ext>
              </c:extLst>
            </c:dLbl>
            <c:dLbl>
              <c:idx val="19"/>
              <c:layout>
                <c:manualLayout>
                  <c:x val="-1.5649666059502125E-2"/>
                  <c:y val="-5.64066052437086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2B61-47F2-BED9-06DCE9DAA4D2}"/>
                </c:ext>
              </c:extLst>
            </c:dLbl>
            <c:dLbl>
              <c:idx val="20"/>
              <c:layout>
                <c:manualLayout>
                  <c:x val="5.1760777170613238E-3"/>
                  <c:y val="3.16748701210035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2B61-47F2-BED9-06DCE9DAA4D2}"/>
                </c:ext>
              </c:extLst>
            </c:dLbl>
            <c:dLbl>
              <c:idx val="21"/>
              <c:layout>
                <c:manualLayout>
                  <c:x val="-3.9363266067151445E-2"/>
                  <c:y val="-4.26438747179724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2B61-47F2-BED9-06DCE9DAA4D2}"/>
                </c:ext>
              </c:extLst>
            </c:dLbl>
            <c:dLbl>
              <c:idx val="22"/>
              <c:layout>
                <c:manualLayout>
                  <c:x val="-1.5076684403520599E-2"/>
                  <c:y val="-3.1633690297383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2B61-47F2-BED9-06DCE9DAA4D2}"/>
                </c:ext>
              </c:extLst>
            </c:dLbl>
            <c:dLbl>
              <c:idx val="23"/>
              <c:layout>
                <c:manualLayout>
                  <c:x val="-3.386460230722526E-2"/>
                  <c:y val="2.89223240158562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2B61-47F2-BED9-06DCE9DAA4D2}"/>
                </c:ext>
              </c:extLst>
            </c:dLbl>
            <c:dLbl>
              <c:idx val="25"/>
              <c:layout>
                <c:manualLayout>
                  <c:x val="-1.3038858530661921E-2"/>
                  <c:y val="3.71799623312982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2B61-47F2-BED9-06DCE9DAA4D2}"/>
                </c:ext>
              </c:extLst>
            </c:dLbl>
            <c:dLbl>
              <c:idx val="26"/>
              <c:layout>
                <c:manualLayout>
                  <c:x val="-4.7055251973284758E-4"/>
                  <c:y val="-1.23658675613525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2B61-47F2-BED9-06DCE9DAA4D2}"/>
                </c:ext>
              </c:extLst>
            </c:dLbl>
            <c:dLbl>
              <c:idx val="28"/>
              <c:layout>
                <c:manualLayout>
                  <c:x val="-3.0255797943289985E-2"/>
                  <c:y val="4.26850545415927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2B61-47F2-BED9-06DCE9DAA4D2}"/>
                </c:ext>
              </c:extLst>
            </c:dLbl>
            <c:dLbl>
              <c:idx val="30"/>
              <c:layout>
                <c:manualLayout>
                  <c:x val="-7.0294474802671522E-2"/>
                  <c:y val="-1.3556831407634739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2B61-47F2-BED9-06DCE9DAA4D2}"/>
                </c:ext>
              </c:extLst>
            </c:dLbl>
            <c:dLbl>
              <c:idx val="31"/>
              <c:layout>
                <c:manualLayout>
                  <c:x val="-6.1187006678809955E-2"/>
                  <c:y val="2.34172318055618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2B61-47F2-BED9-06DCE9DAA4D2}"/>
                </c:ext>
              </c:extLst>
            </c:dLbl>
            <c:dLbl>
              <c:idx val="32"/>
              <c:layout>
                <c:manualLayout>
                  <c:x val="8.6369156041287195E-3"/>
                  <c:y val="6.9019551746782089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2B61-47F2-BED9-06DCE9DAA4D2}"/>
                </c:ext>
              </c:extLst>
            </c:dLbl>
            <c:dLbl>
              <c:idx val="34"/>
              <c:layout>
                <c:manualLayout>
                  <c:x val="-1.9630418465451271E-2"/>
                  <c:y val="5.36952389621817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2B61-47F2-BED9-06DCE9DAA4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'Ans5(a)'!$A$52:$A$92</c:f>
              <c:multiLvlStrCache>
                <c:ptCount val="36"/>
                <c:lvl>
                  <c:pt idx="0">
                    <c:v>Apr</c:v>
                  </c:pt>
                  <c:pt idx="1">
                    <c:v>May</c:v>
                  </c:pt>
                  <c:pt idx="2">
                    <c:v>Jun</c:v>
                  </c:pt>
                  <c:pt idx="3">
                    <c:v>Jul</c:v>
                  </c:pt>
                  <c:pt idx="4">
                    <c:v>Aug</c:v>
                  </c:pt>
                  <c:pt idx="5">
                    <c:v>Sep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9">
                    <c:v>Jan</c:v>
                  </c:pt>
                  <c:pt idx="10">
                    <c:v>Feb</c:v>
                  </c:pt>
                  <c:pt idx="11">
                    <c:v>Mar</c:v>
                  </c:pt>
                  <c:pt idx="12">
                    <c:v>Apr</c:v>
                  </c:pt>
                  <c:pt idx="13">
                    <c:v>May</c:v>
                  </c:pt>
                  <c:pt idx="14">
                    <c:v>Jun</c:v>
                  </c:pt>
                  <c:pt idx="15">
                    <c:v>Jul</c:v>
                  </c:pt>
                  <c:pt idx="16">
                    <c:v>Aug</c:v>
                  </c:pt>
                  <c:pt idx="17">
                    <c:v>Sep</c:v>
                  </c:pt>
                  <c:pt idx="18">
                    <c:v>Oct</c:v>
                  </c:pt>
                  <c:pt idx="19">
                    <c:v>Nov</c:v>
                  </c:pt>
                  <c:pt idx="20">
                    <c:v>Dec</c:v>
                  </c:pt>
                  <c:pt idx="21">
                    <c:v>Jan</c:v>
                  </c:pt>
                  <c:pt idx="22">
                    <c:v>Feb</c:v>
                  </c:pt>
                  <c:pt idx="23">
                    <c:v>Mar</c:v>
                  </c:pt>
                  <c:pt idx="24">
                    <c:v>Apr</c:v>
                  </c:pt>
                  <c:pt idx="25">
                    <c:v>May</c:v>
                  </c:pt>
                  <c:pt idx="26">
                    <c:v>Jun</c:v>
                  </c:pt>
                  <c:pt idx="27">
                    <c:v>Jul</c:v>
                  </c:pt>
                  <c:pt idx="28">
                    <c:v>Aug</c:v>
                  </c:pt>
                  <c:pt idx="29">
                    <c:v>Sep</c:v>
                  </c:pt>
                  <c:pt idx="30">
                    <c:v>Oct</c:v>
                  </c:pt>
                  <c:pt idx="31">
                    <c:v>Nov</c:v>
                  </c:pt>
                  <c:pt idx="32">
                    <c:v>Dec</c:v>
                  </c:pt>
                  <c:pt idx="33">
                    <c:v>Jan</c:v>
                  </c:pt>
                  <c:pt idx="34">
                    <c:v>Feb</c:v>
                  </c:pt>
                  <c:pt idx="35">
                    <c:v>Mar</c:v>
                  </c:pt>
                </c:lvl>
                <c:lvl>
                  <c:pt idx="0">
                    <c:v>2021</c:v>
                  </c:pt>
                  <c:pt idx="9">
                    <c:v>2022</c:v>
                  </c:pt>
                  <c:pt idx="21">
                    <c:v>2023</c:v>
                  </c:pt>
                  <c:pt idx="33">
                    <c:v>2024</c:v>
                  </c:pt>
                </c:lvl>
              </c:multiLvlStrCache>
            </c:multiLvlStrRef>
          </c:cat>
          <c:val>
            <c:numRef>
              <c:f>'Ans5(a)'!$B$52:$B$92</c:f>
              <c:numCache>
                <c:formatCode>0.00%</c:formatCode>
                <c:ptCount val="36"/>
                <c:pt idx="0">
                  <c:v>0</c:v>
                </c:pt>
                <c:pt idx="1">
                  <c:v>5.6092712133380143E-2</c:v>
                </c:pt>
                <c:pt idx="2">
                  <c:v>7.512070034381102E-2</c:v>
                </c:pt>
                <c:pt idx="3">
                  <c:v>2.1622058941749817E-2</c:v>
                </c:pt>
                <c:pt idx="4">
                  <c:v>-5.078030739324535E-2</c:v>
                </c:pt>
                <c:pt idx="5">
                  <c:v>4.7647403493843964E-2</c:v>
                </c:pt>
                <c:pt idx="6">
                  <c:v>0.122748049582014</c:v>
                </c:pt>
                <c:pt idx="7">
                  <c:v>-1.7904511325026917E-2</c:v>
                </c:pt>
                <c:pt idx="8">
                  <c:v>-9.1005991108670498E-2</c:v>
                </c:pt>
                <c:pt idx="9">
                  <c:v>0.15508428007030658</c:v>
                </c:pt>
                <c:pt idx="10">
                  <c:v>0.11104057112312367</c:v>
                </c:pt>
                <c:pt idx="11">
                  <c:v>0.19993126557988886</c:v>
                </c:pt>
                <c:pt idx="12">
                  <c:v>-8.7785717712309114E-2</c:v>
                </c:pt>
                <c:pt idx="13">
                  <c:v>6.3506788685496113E-2</c:v>
                </c:pt>
                <c:pt idx="14">
                  <c:v>5.9415963389681525E-2</c:v>
                </c:pt>
                <c:pt idx="15">
                  <c:v>-9.0681941866876919E-2</c:v>
                </c:pt>
                <c:pt idx="16">
                  <c:v>-7.6658321402549315E-2</c:v>
                </c:pt>
                <c:pt idx="17">
                  <c:v>-6.8766052866020555E-2</c:v>
                </c:pt>
                <c:pt idx="18">
                  <c:v>1.0943048058662044E-2</c:v>
                </c:pt>
                <c:pt idx="19">
                  <c:v>-4.5220612565410795E-2</c:v>
                </c:pt>
                <c:pt idx="20">
                  <c:v>-0.1079506472833215</c:v>
                </c:pt>
                <c:pt idx="21">
                  <c:v>3.6124114857364886E-2</c:v>
                </c:pt>
                <c:pt idx="22">
                  <c:v>1.676222127830582E-2</c:v>
                </c:pt>
                <c:pt idx="23">
                  <c:v>-4.5445857664744529E-2</c:v>
                </c:pt>
                <c:pt idx="24">
                  <c:v>6.6410907167830421E-2</c:v>
                </c:pt>
                <c:pt idx="25">
                  <c:v>-0.10475521515911457</c:v>
                </c:pt>
                <c:pt idx="26">
                  <c:v>-7.1078554052242632E-4</c:v>
                </c:pt>
                <c:pt idx="27">
                  <c:v>7.2605996490566385E-2</c:v>
                </c:pt>
                <c:pt idx="28">
                  <c:v>7.5380427705766209E-2</c:v>
                </c:pt>
                <c:pt idx="29">
                  <c:v>8.2296736176468127E-2</c:v>
                </c:pt>
                <c:pt idx="30">
                  <c:v>-3.6979055010011544E-2</c:v>
                </c:pt>
                <c:pt idx="31">
                  <c:v>-7.3545177406463519E-2</c:v>
                </c:pt>
                <c:pt idx="32">
                  <c:v>-7.2321849532905103E-2</c:v>
                </c:pt>
                <c:pt idx="33">
                  <c:v>2.3208813930205342E-2</c:v>
                </c:pt>
                <c:pt idx="34">
                  <c:v>3.0364110924550509E-2</c:v>
                </c:pt>
                <c:pt idx="35">
                  <c:v>3.510090310170208E-2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2B61-47F2-BED9-06DCE9DAA4D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51032704"/>
        <c:axId val="651042304"/>
      </c:lineChart>
      <c:catAx>
        <c:axId val="65103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042304"/>
        <c:crosses val="autoZero"/>
        <c:auto val="1"/>
        <c:lblAlgn val="ctr"/>
        <c:lblOffset val="100"/>
        <c:noMultiLvlLbl val="0"/>
      </c:catAx>
      <c:valAx>
        <c:axId val="65104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03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[All_India_Index_Upto_April23.xlsx]Ans2!PivotTable1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2019</a:t>
            </a:r>
            <a:r>
              <a:rPr lang="en-US" baseline="0"/>
              <a:t> has highest 7.74% and 2018 has lowest 2.34% YoY inflation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'Ans2'!$N$3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'Ans2'!$M$4:$M$10</c:f>
              <c:strCach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strCache>
            </c:strRef>
          </c:cat>
          <c:val>
            <c:numRef>
              <c:f>'Ans2'!$N$4:$N$10</c:f>
              <c:numCache>
                <c:formatCode>0.00%</c:formatCode>
                <c:ptCount val="6"/>
                <c:pt idx="0">
                  <c:v>5.295471987720627E-2</c:v>
                </c:pt>
                <c:pt idx="1">
                  <c:v>2.3374726077428697E-2</c:v>
                </c:pt>
                <c:pt idx="2">
                  <c:v>7.7363896848137617E-2</c:v>
                </c:pt>
                <c:pt idx="3">
                  <c:v>5.7922769640479481E-2</c:v>
                </c:pt>
                <c:pt idx="4">
                  <c:v>5.657978385251098E-2</c:v>
                </c:pt>
                <c:pt idx="5">
                  <c:v>6.0350030175015092E-2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CA-40B5-97A2-FF76FD6D368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80000111"/>
        <c:axId val="2079997231"/>
      </c:lineChart>
      <c:catAx>
        <c:axId val="2080000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997231"/>
        <c:crosses val="autoZero"/>
        <c:auto val="1"/>
        <c:lblAlgn val="ctr"/>
        <c:lblOffset val="100"/>
        <c:noMultiLvlLbl val="0"/>
      </c:catAx>
      <c:valAx>
        <c:axId val="2079997231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00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[All_India_Index_Upto_April23.xlsx]Ans3!PivotTable8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June 2022</a:t>
            </a:r>
            <a:r>
              <a:rPr lang="en-US" baseline="0"/>
              <a:t> has highest and Feb 2023 has lowest inflation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'Ans3'!$E$19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'Ans3'!$D$20:$D$32</c:f>
              <c:strCache>
                <c:ptCount val="12"/>
                <c:pt idx="0">
                  <c:v>February2023</c:v>
                </c:pt>
                <c:pt idx="1">
                  <c:v>December2022</c:v>
                </c:pt>
                <c:pt idx="2">
                  <c:v>November2022</c:v>
                </c:pt>
                <c:pt idx="3">
                  <c:v>March2023</c:v>
                </c:pt>
                <c:pt idx="4">
                  <c:v>August2022</c:v>
                </c:pt>
                <c:pt idx="5">
                  <c:v>July2022</c:v>
                </c:pt>
                <c:pt idx="6">
                  <c:v>January2023</c:v>
                </c:pt>
                <c:pt idx="7">
                  <c:v>April2023</c:v>
                </c:pt>
                <c:pt idx="8">
                  <c:v>September2022</c:v>
                </c:pt>
                <c:pt idx="9">
                  <c:v>October2022</c:v>
                </c:pt>
                <c:pt idx="10">
                  <c:v>May2023</c:v>
                </c:pt>
                <c:pt idx="11">
                  <c:v>June2022</c:v>
                </c:pt>
              </c:strCache>
            </c:strRef>
          </c:cat>
          <c:val>
            <c:numRef>
              <c:f>'Ans3'!$E$20:$E$32</c:f>
              <c:numCache>
                <c:formatCode>0.00</c:formatCode>
                <c:ptCount val="12"/>
                <c:pt idx="0">
                  <c:v>-0.59318707201117182</c:v>
                </c:pt>
                <c:pt idx="1">
                  <c:v>-0.58342041100662179</c:v>
                </c:pt>
                <c:pt idx="2">
                  <c:v>-2.1764680276851682E-2</c:v>
                </c:pt>
                <c:pt idx="3">
                  <c:v>4.3876968978992913E-3</c:v>
                </c:pt>
                <c:pt idx="4">
                  <c:v>0.12796187618585006</c:v>
                </c:pt>
                <c:pt idx="5">
                  <c:v>0.19452672531943327</c:v>
                </c:pt>
                <c:pt idx="6">
                  <c:v>0.40728737847069707</c:v>
                </c:pt>
                <c:pt idx="7">
                  <c:v>0.456300456300479</c:v>
                </c:pt>
                <c:pt idx="8">
                  <c:v>0.51560021152829516</c:v>
                </c:pt>
                <c:pt idx="9">
                  <c:v>0.71901442413082706</c:v>
                </c:pt>
                <c:pt idx="10">
                  <c:v>0.75559049615652807</c:v>
                </c:pt>
                <c:pt idx="11">
                  <c:v>1.0408290896095831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F8-426E-BE63-B45E1DA3C7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185630431"/>
        <c:axId val="1185632831"/>
      </c:barChart>
      <c:catAx>
        <c:axId val="11856304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632831"/>
        <c:crosses val="autoZero"/>
        <c:auto val="1"/>
        <c:lblAlgn val="ctr"/>
        <c:lblOffset val="100"/>
        <c:noMultiLvlLbl val="0"/>
      </c:catAx>
      <c:valAx>
        <c:axId val="1185632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630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[All_India_Index_Upto_April23.xlsx]Ans4!PivotTable2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Moderate</a:t>
            </a:r>
            <a:r>
              <a:rPr lang="en-US" baseline="0"/>
              <a:t> Volatality before onset while high volatility after onset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2.5259515570934254E-3"/>
              <c:y val="9.955247649654518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86159169550173E-2"/>
              <c:y val="4.250206829498893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4.8327566320645905E-3"/>
              <c:y val="3.1173832667687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8996539792387541E-2"/>
              <c:y val="3.400589157451325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2.5259515570934254E-3"/>
              <c:y val="-2.82994043756425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9714555576746677E-2"/>
              <c:y val="-7.92764646984972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6.5453323524866582E-4"/>
              <c:y val="2.26776559472122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4.432816572668901E-2"/>
              <c:y val="-3.67955810961182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2.1914648212226066E-4"/>
              <c:y val="2.550971485403746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9590769146936218E-3"/>
              <c:y val="3.11738326676879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9.7260896021215335E-3"/>
              <c:y val="-4.52917578165940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7027127664405272E-2"/>
              <c:y val="3.96700093881637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4.8941775876631378E-2"/>
              <c:y val="2.1184692610006385E-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1.8079357727342059E-3"/>
              <c:y val="-2.26352865619920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3566920051948523E-2"/>
              <c:y val="3.11738326676879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5.8604382929642443E-2"/>
              <c:y val="2.1184692610110228E-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5.629757785467128E-2"/>
              <c:y val="-1.130705093469104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9.3425605536332185E-4"/>
              <c:y val="-1.130705093469104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1.5493102289549447E-2"/>
              <c:y val="3.967000938816377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8561153039261178E-2"/>
              <c:y val="3.967000938816377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6.2658819896648709E-3"/>
              <c:y val="-4.24596989097687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0106712439491775E-2"/>
              <c:y val="4.250206829498903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8056743772080393E-3"/>
              <c:y val="-5.37879345370698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1.6522718397226259E-3"/>
              <c:y val="-2.54673454688172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5.2681433851909532E-3"/>
              <c:y val="-2.829940437564256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4.3174763189203429E-2"/>
              <c:y val="-3.962764000294350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5.1124794521792043E-3"/>
              <c:y val="-4.52917578165940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7.4192845271503693E-3"/>
              <c:y val="-4.24596989097689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4.8941775876631337E-2"/>
              <c:y val="2.1184692610110228E-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1.2032894677092698E-2"/>
              <c:y val="4.250206829498903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1.0226412009917614E-2"/>
              <c:y val="4.250206829498903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6.2658819896647868E-3"/>
              <c:y val="-3.962764000294355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3.679354094579008E-3"/>
              <c:y val="-3.396352218929303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5.629757785467128E-2"/>
              <c:y val="-2.82994043756425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2.5259515570934254E-3"/>
              <c:y val="9.955247649654518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2.1914648212226066E-4"/>
              <c:y val="2.550971485403746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9590769146936218E-3"/>
              <c:y val="3.11738326676879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4.432816572668901E-2"/>
              <c:y val="-3.67955810961182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9.7260896021215335E-3"/>
              <c:y val="-4.52917578165940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86159169550173E-2"/>
              <c:y val="4.250206829498893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2.5259515570934254E-3"/>
              <c:y val="-2.82994043756425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8996539792387541E-2"/>
              <c:y val="3.400589157451325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4.8327566320645905E-3"/>
              <c:y val="3.1173832667687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6.5453323524866582E-4"/>
              <c:y val="2.26776559472122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9714555576746677E-2"/>
              <c:y val="-7.92764646984972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7027127664405272E-2"/>
              <c:y val="3.96700093881637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4.8941775876631378E-2"/>
              <c:y val="2.1184692610006385E-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1.8079357727342059E-3"/>
              <c:y val="-2.26352865619920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3566920051948523E-2"/>
              <c:y val="3.11738326676879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5.8604382929642443E-2"/>
              <c:y val="2.1184692610110228E-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5.629757785467128E-2"/>
              <c:y val="-1.130705093469104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9.3425605536332185E-4"/>
              <c:y val="-1.130705093469104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6.2658819896648709E-3"/>
              <c:y val="-4.24596989097687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8561153039261178E-2"/>
              <c:y val="3.967000938816377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1.5493102289549447E-2"/>
              <c:y val="3.967000938816377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0106712439491775E-2"/>
              <c:y val="4.250206829498903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5.2681433851909532E-3"/>
              <c:y val="-2.829940437564256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8056743772080393E-3"/>
              <c:y val="-5.37879345370698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5.629757785467128E-2"/>
              <c:y val="-2.82994043756425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3.679354094579008E-3"/>
              <c:y val="-3.396352218929303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1.6522718397226259E-3"/>
              <c:y val="-2.54673454688172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4.3174763189203429E-2"/>
              <c:y val="-3.962764000294350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5.1124794521792043E-3"/>
              <c:y val="-4.52917578165940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7.4192845271503693E-3"/>
              <c:y val="-4.24596989097689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4.8941775876631337E-2"/>
              <c:y val="2.1184692610110228E-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1.2032894677092698E-2"/>
              <c:y val="4.250206829498903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6.2658819896647868E-3"/>
              <c:y val="-3.962764000294355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1.0226412009917614E-2"/>
              <c:y val="4.250206829498903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2.5259515570934254E-3"/>
              <c:y val="9.955247649654518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2.1914648212226066E-4"/>
              <c:y val="2.550971485403746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9590769146936218E-3"/>
              <c:y val="3.11738326676879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4.432816572668901E-2"/>
              <c:y val="-3.67955810961182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9.7260896021215335E-3"/>
              <c:y val="-4.52917578165940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86159169550173E-2"/>
              <c:y val="4.250206829498893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2.5259515570934254E-3"/>
              <c:y val="-2.82994043756425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8996539792387541E-2"/>
              <c:y val="3.400589157451325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4.8327566320645905E-3"/>
              <c:y val="3.1173832667687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6.5453323524866582E-4"/>
              <c:y val="2.26776559472122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9714555576746677E-2"/>
              <c:y val="-7.92764646984972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7027127664405272E-2"/>
              <c:y val="3.96700093881637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4.8941775876631378E-2"/>
              <c:y val="2.1184692610006385E-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1.8079357727342059E-3"/>
              <c:y val="-2.26352865619920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3566920051948523E-2"/>
              <c:y val="3.11738326676879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5.8604382929642443E-2"/>
              <c:y val="2.1184692610110228E-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5.629757785467128E-2"/>
              <c:y val="-1.130705093469104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9.3425605536332185E-4"/>
              <c:y val="-1.130705093469104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6.2658819896648709E-3"/>
              <c:y val="-4.24596989097687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8561153039261178E-2"/>
              <c:y val="3.967000938816377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1.5493102289549447E-2"/>
              <c:y val="3.967000938816377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0106712439491775E-2"/>
              <c:y val="4.250206829498903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5.2681433851909532E-3"/>
              <c:y val="-2.829940437564256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8056743772080393E-3"/>
              <c:y val="-5.37879345370698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5.629757785467128E-2"/>
              <c:y val="-2.82994043756425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3.679354094579008E-3"/>
              <c:y val="-3.396352218929303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1.6522718397226259E-3"/>
              <c:y val="-2.54673454688172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4.3174763189203429E-2"/>
              <c:y val="-3.962764000294350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5.1124794521792043E-3"/>
              <c:y val="-4.52917578165940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7.4192845271503693E-3"/>
              <c:y val="-4.24596989097689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4.8941775876631337E-2"/>
              <c:y val="2.1184692610110228E-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1.2032894677092698E-2"/>
              <c:y val="4.250206829498903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6.2658819896647868E-3"/>
              <c:y val="-3.962764000294355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1.0226412009917614E-2"/>
              <c:y val="4.250206829498903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'Ans4'!$B$58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Pt>
            <c:idx val="1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E06-4865-B711-D224F4827D57}"/>
              </c:ext>
            </c:extLst>
          </c:dPt>
          <c:dPt>
            <c:idx val="2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E06-4865-B711-D224F4827D57}"/>
              </c:ext>
            </c:extLst>
          </c:dPt>
          <c:dPt>
            <c:idx val="4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E06-4865-B711-D224F4827D57}"/>
              </c:ext>
            </c:extLst>
          </c:dPt>
          <c:dPt>
            <c:idx val="5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E06-4865-B711-D224F4827D57}"/>
              </c:ext>
            </c:extLst>
          </c:dPt>
          <c:dPt>
            <c:idx val="7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E06-4865-B711-D224F4827D57}"/>
              </c:ext>
            </c:extLst>
          </c:dPt>
          <c:dPt>
            <c:idx val="8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FE06-4865-B711-D224F4827D57}"/>
              </c:ext>
            </c:extLst>
          </c:dPt>
          <c:dPt>
            <c:idx val="10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FE06-4865-B711-D224F4827D57}"/>
              </c:ext>
            </c:extLst>
          </c:dPt>
          <c:dPt>
            <c:idx val="11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FE06-4865-B711-D224F4827D57}"/>
              </c:ext>
            </c:extLst>
          </c:dPt>
          <c:dPt>
            <c:idx val="12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FE06-4865-B711-D224F4827D57}"/>
              </c:ext>
            </c:extLst>
          </c:dPt>
          <c:dPt>
            <c:idx val="13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FE06-4865-B711-D224F4827D57}"/>
              </c:ext>
            </c:extLst>
          </c:dPt>
          <c:dPt>
            <c:idx val="14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FE06-4865-B711-D224F4827D57}"/>
              </c:ext>
            </c:extLst>
          </c:dPt>
          <c:dPt>
            <c:idx val="16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FE06-4865-B711-D224F4827D57}"/>
              </c:ext>
            </c:extLst>
          </c:dPt>
          <c:dPt>
            <c:idx val="18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FE06-4865-B711-D224F4827D57}"/>
              </c:ext>
            </c:extLst>
          </c:dPt>
          <c:dPt>
            <c:idx val="19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FE06-4865-B711-D224F4827D57}"/>
              </c:ext>
            </c:extLst>
          </c:dPt>
          <c:dPt>
            <c:idx val="21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FE06-4865-B711-D224F4827D57}"/>
              </c:ext>
            </c:extLst>
          </c:dPt>
          <c:dPt>
            <c:idx val="23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FE06-4865-B711-D224F4827D57}"/>
              </c:ext>
            </c:extLst>
          </c:dPt>
          <c:dPt>
            <c:idx val="24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FE06-4865-B711-D224F4827D57}"/>
              </c:ext>
            </c:extLst>
          </c:dPt>
          <c:dPt>
            <c:idx val="25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FE06-4865-B711-D224F4827D57}"/>
              </c:ext>
            </c:extLst>
          </c:dPt>
          <c:dPt>
            <c:idx val="27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FE06-4865-B711-D224F4827D57}"/>
              </c:ext>
            </c:extLst>
          </c:dPt>
          <c:dPt>
            <c:idx val="28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FE06-4865-B711-D224F4827D57}"/>
              </c:ext>
            </c:extLst>
          </c:dPt>
          <c:dPt>
            <c:idx val="29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FE06-4865-B711-D224F4827D57}"/>
              </c:ext>
            </c:extLst>
          </c:dPt>
          <c:dPt>
            <c:idx val="31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FE06-4865-B711-D224F4827D57}"/>
              </c:ext>
            </c:extLst>
          </c:dPt>
          <c:dPt>
            <c:idx val="33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FE06-4865-B711-D224F4827D57}"/>
              </c:ext>
            </c:extLst>
          </c:dPt>
          <c:dPt>
            <c:idx val="34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FE06-4865-B711-D224F4827D57}"/>
              </c:ext>
            </c:extLst>
          </c:dPt>
          <c:dPt>
            <c:idx val="35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FE06-4865-B711-D224F4827D57}"/>
              </c:ext>
            </c:extLst>
          </c:dPt>
          <c:dPt>
            <c:idx val="36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FE06-4865-B711-D224F4827D57}"/>
              </c:ext>
            </c:extLst>
          </c:dPt>
          <c:dPt>
            <c:idx val="37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FE06-4865-B711-D224F4827D57}"/>
              </c:ext>
            </c:extLst>
          </c:dPt>
          <c:dPt>
            <c:idx val="38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FE06-4865-B711-D224F4827D57}"/>
              </c:ext>
            </c:extLst>
          </c:dPt>
          <c:dPt>
            <c:idx val="40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FE06-4865-B711-D224F4827D57}"/>
              </c:ext>
            </c:extLst>
          </c:dPt>
          <c:dPt>
            <c:idx val="41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FE06-4865-B711-D224F4827D57}"/>
              </c:ext>
            </c:extLst>
          </c:dPt>
          <c:dPt>
            <c:idx val="42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FE06-4865-B711-D224F4827D57}"/>
              </c:ext>
            </c:extLst>
          </c:dPt>
          <c:dPt>
            <c:idx val="43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FE06-4865-B711-D224F4827D57}"/>
              </c:ext>
            </c:extLst>
          </c:dPt>
          <c:dPt>
            <c:idx val="45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FE06-4865-B711-D224F4827D57}"/>
              </c:ext>
            </c:extLst>
          </c:dPt>
          <c:dPt>
            <c:idx val="46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FE06-4865-B711-D224F4827D57}"/>
              </c:ext>
            </c:extLst>
          </c:dPt>
          <c:dLbls>
            <c:dLbl>
              <c:idx val="1"/>
              <c:layout>
                <c:manualLayout>
                  <c:x val="2.5259515570934254E-3"/>
                  <c:y val="9.955247649654518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E06-4865-B711-D224F4827D57}"/>
                </c:ext>
              </c:extLst>
            </c:dLbl>
            <c:dLbl>
              <c:idx val="2"/>
              <c:layout>
                <c:manualLayout>
                  <c:x val="2.1914648212226066E-4"/>
                  <c:y val="2.55097148540374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E06-4865-B711-D224F4827D57}"/>
                </c:ext>
              </c:extLst>
            </c:dLbl>
            <c:dLbl>
              <c:idx val="4"/>
              <c:layout>
                <c:manualLayout>
                  <c:x val="-3.9590769146936218E-3"/>
                  <c:y val="3.117383266768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E06-4865-B711-D224F4827D57}"/>
                </c:ext>
              </c:extLst>
            </c:dLbl>
            <c:dLbl>
              <c:idx val="5"/>
              <c:layout>
                <c:manualLayout>
                  <c:x val="-4.432816572668901E-2"/>
                  <c:y val="-3.67955810961182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E06-4865-B711-D224F4827D57}"/>
                </c:ext>
              </c:extLst>
            </c:dLbl>
            <c:dLbl>
              <c:idx val="7"/>
              <c:layout>
                <c:manualLayout>
                  <c:x val="-9.7260896021215335E-3"/>
                  <c:y val="-4.52917578165940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E06-4865-B711-D224F4827D57}"/>
                </c:ext>
              </c:extLst>
            </c:dLbl>
            <c:dLbl>
              <c:idx val="8"/>
              <c:layout>
                <c:manualLayout>
                  <c:x val="-2.86159169550173E-2"/>
                  <c:y val="4.25020682949889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E06-4865-B711-D224F4827D57}"/>
                </c:ext>
              </c:extLst>
            </c:dLbl>
            <c:dLbl>
              <c:idx val="10"/>
              <c:layout>
                <c:manualLayout>
                  <c:x val="2.5259515570934254E-3"/>
                  <c:y val="-2.8299404375642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E06-4865-B711-D224F4827D57}"/>
                </c:ext>
              </c:extLst>
            </c:dLbl>
            <c:dLbl>
              <c:idx val="11"/>
              <c:layout>
                <c:manualLayout>
                  <c:x val="-3.8996539792387541E-2"/>
                  <c:y val="3.400589157451325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E06-4865-B711-D224F4827D57}"/>
                </c:ext>
              </c:extLst>
            </c:dLbl>
            <c:dLbl>
              <c:idx val="12"/>
              <c:layout>
                <c:manualLayout>
                  <c:x val="4.8327566320645905E-3"/>
                  <c:y val="3.1173832667687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E06-4865-B711-D224F4827D57}"/>
                </c:ext>
              </c:extLst>
            </c:dLbl>
            <c:dLbl>
              <c:idx val="13"/>
              <c:layout>
                <c:manualLayout>
                  <c:x val="6.5453323524866582E-4"/>
                  <c:y val="2.26776559472122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FE06-4865-B711-D224F4827D57}"/>
                </c:ext>
              </c:extLst>
            </c:dLbl>
            <c:dLbl>
              <c:idx val="14"/>
              <c:layout>
                <c:manualLayout>
                  <c:x val="-3.9714555576746677E-2"/>
                  <c:y val="-7.92764646984972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E06-4865-B711-D224F4827D57}"/>
                </c:ext>
              </c:extLst>
            </c:dLbl>
            <c:dLbl>
              <c:idx val="16"/>
              <c:layout>
                <c:manualLayout>
                  <c:x val="-2.7027127664405272E-2"/>
                  <c:y val="3.96700093881637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FE06-4865-B711-D224F4827D57}"/>
                </c:ext>
              </c:extLst>
            </c:dLbl>
            <c:dLbl>
              <c:idx val="18"/>
              <c:layout>
                <c:manualLayout>
                  <c:x val="-4.8941775876631378E-2"/>
                  <c:y val="2.1184692610006385E-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FE06-4865-B711-D224F4827D57}"/>
                </c:ext>
              </c:extLst>
            </c:dLbl>
            <c:dLbl>
              <c:idx val="19"/>
              <c:layout>
                <c:manualLayout>
                  <c:x val="1.8079357727342059E-3"/>
                  <c:y val="-2.26352865619920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FE06-4865-B711-D224F4827D57}"/>
                </c:ext>
              </c:extLst>
            </c:dLbl>
            <c:dLbl>
              <c:idx val="21"/>
              <c:layout>
                <c:manualLayout>
                  <c:x val="-2.3566920051948523E-2"/>
                  <c:y val="3.117383266768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FE06-4865-B711-D224F4827D57}"/>
                </c:ext>
              </c:extLst>
            </c:dLbl>
            <c:dLbl>
              <c:idx val="23"/>
              <c:layout>
                <c:manualLayout>
                  <c:x val="-5.8604382929642443E-2"/>
                  <c:y val="2.1184692610110228E-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FE06-4865-B711-D224F4827D57}"/>
                </c:ext>
              </c:extLst>
            </c:dLbl>
            <c:dLbl>
              <c:idx val="24"/>
              <c:layout>
                <c:manualLayout>
                  <c:x val="-5.629757785467128E-2"/>
                  <c:y val="-1.13070509346910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FE06-4865-B711-D224F4827D57}"/>
                </c:ext>
              </c:extLst>
            </c:dLbl>
            <c:dLbl>
              <c:idx val="25"/>
              <c:layout>
                <c:manualLayout>
                  <c:x val="-9.3425605536332185E-4"/>
                  <c:y val="-1.13070509346910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FE06-4865-B711-D224F4827D57}"/>
                </c:ext>
              </c:extLst>
            </c:dLbl>
            <c:dLbl>
              <c:idx val="27"/>
              <c:layout>
                <c:manualLayout>
                  <c:x val="-6.2658819896648709E-3"/>
                  <c:y val="-4.24596989097687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FE06-4865-B711-D224F4827D57}"/>
                </c:ext>
              </c:extLst>
            </c:dLbl>
            <c:dLbl>
              <c:idx val="28"/>
              <c:layout>
                <c:manualLayout>
                  <c:x val="-3.8561153039261178E-2"/>
                  <c:y val="3.96700093881637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FE06-4865-B711-D224F4827D57}"/>
                </c:ext>
              </c:extLst>
            </c:dLbl>
            <c:dLbl>
              <c:idx val="29"/>
              <c:layout>
                <c:manualLayout>
                  <c:x val="-1.5493102289549447E-2"/>
                  <c:y val="3.96700093881637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FE06-4865-B711-D224F4827D57}"/>
                </c:ext>
              </c:extLst>
            </c:dLbl>
            <c:dLbl>
              <c:idx val="31"/>
              <c:layout>
                <c:manualLayout>
                  <c:x val="-2.0106712439491775E-2"/>
                  <c:y val="4.25020682949890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FE06-4865-B711-D224F4827D57}"/>
                </c:ext>
              </c:extLst>
            </c:dLbl>
            <c:dLbl>
              <c:idx val="33"/>
              <c:layout>
                <c:manualLayout>
                  <c:x val="5.2681433851909532E-3"/>
                  <c:y val="-2.82994043756425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FE06-4865-B711-D224F4827D57}"/>
                </c:ext>
              </c:extLst>
            </c:dLbl>
            <c:dLbl>
              <c:idx val="34"/>
              <c:layout>
                <c:manualLayout>
                  <c:x val="-2.8056743772080393E-3"/>
                  <c:y val="-5.3787934537069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FE06-4865-B711-D224F4827D57}"/>
                </c:ext>
              </c:extLst>
            </c:dLbl>
            <c:dLbl>
              <c:idx val="35"/>
              <c:layout>
                <c:manualLayout>
                  <c:x val="-5.629757785467128E-2"/>
                  <c:y val="-2.8299404375642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FE06-4865-B711-D224F4827D57}"/>
                </c:ext>
              </c:extLst>
            </c:dLbl>
            <c:dLbl>
              <c:idx val="36"/>
              <c:layout>
                <c:manualLayout>
                  <c:x val="3.679354094579008E-3"/>
                  <c:y val="-3.39635221892930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FE06-4865-B711-D224F4827D57}"/>
                </c:ext>
              </c:extLst>
            </c:dLbl>
            <c:dLbl>
              <c:idx val="37"/>
              <c:layout>
                <c:manualLayout>
                  <c:x val="-1.6522718397226259E-3"/>
                  <c:y val="-2.54673454688172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FE06-4865-B711-D224F4827D57}"/>
                </c:ext>
              </c:extLst>
            </c:dLbl>
            <c:dLbl>
              <c:idx val="38"/>
              <c:layout>
                <c:manualLayout>
                  <c:x val="-4.3174763189203429E-2"/>
                  <c:y val="-3.96276400029435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FE06-4865-B711-D224F4827D57}"/>
                </c:ext>
              </c:extLst>
            </c:dLbl>
            <c:dLbl>
              <c:idx val="40"/>
              <c:layout>
                <c:manualLayout>
                  <c:x val="-5.1124794521792043E-3"/>
                  <c:y val="-4.52917578165940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FE06-4865-B711-D224F4827D57}"/>
                </c:ext>
              </c:extLst>
            </c:dLbl>
            <c:dLbl>
              <c:idx val="41"/>
              <c:layout>
                <c:manualLayout>
                  <c:x val="-7.4192845271503693E-3"/>
                  <c:y val="-4.24596989097689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FE06-4865-B711-D224F4827D57}"/>
                </c:ext>
              </c:extLst>
            </c:dLbl>
            <c:dLbl>
              <c:idx val="42"/>
              <c:layout>
                <c:manualLayout>
                  <c:x val="-4.8941775876631337E-2"/>
                  <c:y val="2.1184692610110228E-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FE06-4865-B711-D224F4827D57}"/>
                </c:ext>
              </c:extLst>
            </c:dLbl>
            <c:dLbl>
              <c:idx val="43"/>
              <c:layout>
                <c:manualLayout>
                  <c:x val="-1.2032894677092698E-2"/>
                  <c:y val="4.25020682949890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FE06-4865-B711-D224F4827D57}"/>
                </c:ext>
              </c:extLst>
            </c:dLbl>
            <c:dLbl>
              <c:idx val="45"/>
              <c:layout>
                <c:manualLayout>
                  <c:x val="-6.2658819896647868E-3"/>
                  <c:y val="-3.96276400029435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FE06-4865-B711-D224F4827D57}"/>
                </c:ext>
              </c:extLst>
            </c:dLbl>
            <c:dLbl>
              <c:idx val="46"/>
              <c:layout>
                <c:manualLayout>
                  <c:x val="-1.0226412009917614E-2"/>
                  <c:y val="4.25020682949890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FE06-4865-B711-D224F4827D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'Ans4'!$A$59:$A$110</c:f>
              <c:multiLvlStrCache>
                <c:ptCount val="47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May</c:v>
                  </c:pt>
                  <c:pt idx="16">
                    <c:v>June</c:v>
                  </c:pt>
                  <c:pt idx="17">
                    <c:v>July</c:v>
                  </c:pt>
                  <c:pt idx="18">
                    <c:v>August</c:v>
                  </c:pt>
                  <c:pt idx="19">
                    <c:v>September</c:v>
                  </c:pt>
                  <c:pt idx="20">
                    <c:v>October</c:v>
                  </c:pt>
                  <c:pt idx="21">
                    <c:v>November</c:v>
                  </c:pt>
                  <c:pt idx="22">
                    <c:v>December</c:v>
                  </c:pt>
                  <c:pt idx="23">
                    <c:v>January</c:v>
                  </c:pt>
                  <c:pt idx="24">
                    <c:v>February</c:v>
                  </c:pt>
                  <c:pt idx="25">
                    <c:v>March</c:v>
                  </c:pt>
                  <c:pt idx="26">
                    <c:v>April</c:v>
                  </c:pt>
                  <c:pt idx="27">
                    <c:v>May</c:v>
                  </c:pt>
                  <c:pt idx="28">
                    <c:v>June</c:v>
                  </c:pt>
                  <c:pt idx="29">
                    <c:v>July</c:v>
                  </c:pt>
                  <c:pt idx="30">
                    <c:v>August</c:v>
                  </c:pt>
                  <c:pt idx="31">
                    <c:v>September</c:v>
                  </c:pt>
                  <c:pt idx="32">
                    <c:v>October</c:v>
                  </c:pt>
                  <c:pt idx="33">
                    <c:v>November</c:v>
                  </c:pt>
                  <c:pt idx="34">
                    <c:v>December</c:v>
                  </c:pt>
                  <c:pt idx="35">
                    <c:v>January</c:v>
                  </c:pt>
                  <c:pt idx="36">
                    <c:v>February</c:v>
                  </c:pt>
                  <c:pt idx="37">
                    <c:v>March</c:v>
                  </c:pt>
                  <c:pt idx="38">
                    <c:v>April</c:v>
                  </c:pt>
                  <c:pt idx="39">
                    <c:v>May</c:v>
                  </c:pt>
                  <c:pt idx="40">
                    <c:v>June</c:v>
                  </c:pt>
                  <c:pt idx="41">
                    <c:v>July</c:v>
                  </c:pt>
                  <c:pt idx="42">
                    <c:v>August</c:v>
                  </c:pt>
                  <c:pt idx="43">
                    <c:v>September</c:v>
                  </c:pt>
                  <c:pt idx="44">
                    <c:v>October</c:v>
                  </c:pt>
                  <c:pt idx="45">
                    <c:v>November</c:v>
                  </c:pt>
                  <c:pt idx="46">
                    <c:v>December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  <c:pt idx="23">
                    <c:v>2020</c:v>
                  </c:pt>
                  <c:pt idx="35">
                    <c:v>2021</c:v>
                  </c:pt>
                </c:lvl>
              </c:multiLvlStrCache>
            </c:multiLvlStrRef>
          </c:cat>
          <c:val>
            <c:numRef>
              <c:f>'Ans4'!$B$59:$B$110</c:f>
              <c:numCache>
                <c:formatCode>0.00%</c:formatCode>
                <c:ptCount val="47"/>
                <c:pt idx="0">
                  <c:v>0</c:v>
                </c:pt>
                <c:pt idx="1">
                  <c:v>-6.3383893896099197E-3</c:v>
                </c:pt>
                <c:pt idx="2">
                  <c:v>-3.3184617086360447E-4</c:v>
                </c:pt>
                <c:pt idx="3">
                  <c:v>2.5449985246387375E-3</c:v>
                </c:pt>
                <c:pt idx="4">
                  <c:v>2.8328611898016322E-3</c:v>
                </c:pt>
                <c:pt idx="5">
                  <c:v>6.8970577445151456E-3</c:v>
                </c:pt>
                <c:pt idx="6">
                  <c:v>9.6553231800625867E-3</c:v>
                </c:pt>
                <c:pt idx="7">
                  <c:v>3.1395474721232059E-3</c:v>
                </c:pt>
                <c:pt idx="8">
                  <c:v>-5.0723073602416289E-3</c:v>
                </c:pt>
                <c:pt idx="9">
                  <c:v>1.8801750009038642E-3</c:v>
                </c:pt>
                <c:pt idx="10">
                  <c:v>-3.2480421523704145E-4</c:v>
                </c:pt>
                <c:pt idx="11">
                  <c:v>-4.1877256317690431E-3</c:v>
                </c:pt>
                <c:pt idx="12">
                  <c:v>-5.0391531322507375E-3</c:v>
                </c:pt>
                <c:pt idx="13">
                  <c:v>1.7125159409731618E-3</c:v>
                </c:pt>
                <c:pt idx="14">
                  <c:v>3.2736796158881754E-3</c:v>
                </c:pt>
                <c:pt idx="15">
                  <c:v>1.2145602204336451E-2</c:v>
                </c:pt>
                <c:pt idx="16">
                  <c:v>8.7760146147506223E-3</c:v>
                </c:pt>
                <c:pt idx="17">
                  <c:v>8.9127192670974756E-3</c:v>
                </c:pt>
                <c:pt idx="18">
                  <c:v>3.695491500369589E-3</c:v>
                </c:pt>
                <c:pt idx="19">
                  <c:v>4.5935900133247266E-3</c:v>
                </c:pt>
                <c:pt idx="20">
                  <c:v>1.0750811546650987E-2</c:v>
                </c:pt>
                <c:pt idx="21">
                  <c:v>1.0014849604586229E-2</c:v>
                </c:pt>
                <c:pt idx="22">
                  <c:v>1.4223681061305322E-2</c:v>
                </c:pt>
                <c:pt idx="23">
                  <c:v>-6.4052860465918678E-4</c:v>
                </c:pt>
                <c:pt idx="24">
                  <c:v>-8.5683443529886803E-3</c:v>
                </c:pt>
                <c:pt idx="25">
                  <c:v>-4.5933991153450466E-3</c:v>
                </c:pt>
                <c:pt idx="26">
                  <c:v>1.845838318236152E-2</c:v>
                </c:pt>
                <c:pt idx="27">
                  <c:v>5.0344017452596543E-3</c:v>
                </c:pt>
                <c:pt idx="28">
                  <c:v>2.7717482050427142E-3</c:v>
                </c:pt>
                <c:pt idx="29">
                  <c:v>0</c:v>
                </c:pt>
                <c:pt idx="30">
                  <c:v>1.1855601438656879E-2</c:v>
                </c:pt>
                <c:pt idx="31">
                  <c:v>4.5747761979990894E-3</c:v>
                </c:pt>
                <c:pt idx="32">
                  <c:v>1.4874029420437114E-2</c:v>
                </c:pt>
                <c:pt idx="33">
                  <c:v>1.6044161797462535E-2</c:v>
                </c:pt>
                <c:pt idx="34">
                  <c:v>5.9414119590773477E-3</c:v>
                </c:pt>
                <c:pt idx="35">
                  <c:v>-8.0540728340861359E-3</c:v>
                </c:pt>
                <c:pt idx="36">
                  <c:v>-7.1960771827037319E-3</c:v>
                </c:pt>
                <c:pt idx="37">
                  <c:v>2.2771007055800694E-3</c:v>
                </c:pt>
                <c:pt idx="38">
                  <c:v>9.0877091933060997E-3</c:v>
                </c:pt>
                <c:pt idx="39">
                  <c:v>1.9597272871412916E-2</c:v>
                </c:pt>
                <c:pt idx="40">
                  <c:v>9.8902124218576571E-3</c:v>
                </c:pt>
                <c:pt idx="41">
                  <c:v>6.5289027131902461E-3</c:v>
                </c:pt>
                <c:pt idx="42">
                  <c:v>1.6828320533611094E-3</c:v>
                </c:pt>
                <c:pt idx="43">
                  <c:v>3.0545543405189396E-5</c:v>
                </c:pt>
                <c:pt idx="44">
                  <c:v>1.2462201044625627E-2</c:v>
                </c:pt>
                <c:pt idx="45">
                  <c:v>6.8482818957977965E-3</c:v>
                </c:pt>
                <c:pt idx="46">
                  <c:v>-2.2472583448196605E-3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FE06-4865-B711-D224F4827D5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91422399"/>
        <c:axId val="1491415199"/>
      </c:lineChart>
      <c:catAx>
        <c:axId val="1491422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415199"/>
        <c:crosses val="autoZero"/>
        <c:auto val="1"/>
        <c:lblAlgn val="ctr"/>
        <c:lblOffset val="100"/>
        <c:noMultiLvlLbl val="0"/>
      </c:catAx>
      <c:valAx>
        <c:axId val="1491415199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422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[All_India_Index_Upto_April23.xlsx]Ans3!PivotTable3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May 2023 has highest CPI and June 2022 has lowest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'Ans3'!$B$61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'Ans3'!$A$62:$A$76</c:f>
              <c:multiLvlStrCache>
                <c:ptCount val="12"/>
                <c:lvl>
                  <c:pt idx="0">
                    <c:v>June</c:v>
                  </c:pt>
                  <c:pt idx="1">
                    <c:v>July</c:v>
                  </c:pt>
                  <c:pt idx="2">
                    <c:v>August</c:v>
                  </c:pt>
                  <c:pt idx="3">
                    <c:v>September</c:v>
                  </c:pt>
                  <c:pt idx="4">
                    <c:v>October</c:v>
                  </c:pt>
                  <c:pt idx="5">
                    <c:v>November</c:v>
                  </c:pt>
                  <c:pt idx="6">
                    <c:v>December</c:v>
                  </c:pt>
                  <c:pt idx="7">
                    <c:v>January</c:v>
                  </c:pt>
                  <c:pt idx="8">
                    <c:v>February</c:v>
                  </c:pt>
                  <c:pt idx="9">
                    <c:v>March</c:v>
                  </c:pt>
                  <c:pt idx="10">
                    <c:v>April</c:v>
                  </c:pt>
                  <c:pt idx="11">
                    <c:v>May</c:v>
                  </c:pt>
                </c:lvl>
                <c:lvl>
                  <c:pt idx="0">
                    <c:v>2022</c:v>
                  </c:pt>
                  <c:pt idx="7">
                    <c:v>2023</c:v>
                  </c:pt>
                </c:lvl>
              </c:multiLvlStrCache>
            </c:multiLvlStrRef>
          </c:cat>
          <c:val>
            <c:numRef>
              <c:f>'Ans3'!$B$62:$B$76</c:f>
              <c:numCache>
                <c:formatCode>0.0</c:formatCode>
                <c:ptCount val="12"/>
                <c:pt idx="0">
                  <c:v>173.99230769230769</c:v>
                </c:pt>
                <c:pt idx="1">
                  <c:v>174.33076923076925</c:v>
                </c:pt>
                <c:pt idx="2">
                  <c:v>174.55384615384617</c:v>
                </c:pt>
                <c:pt idx="3">
                  <c:v>175.45384615384617</c:v>
                </c:pt>
                <c:pt idx="4">
                  <c:v>176.71538461538464</c:v>
                </c:pt>
                <c:pt idx="5">
                  <c:v>176.67692307692309</c:v>
                </c:pt>
                <c:pt idx="6">
                  <c:v>175.64615384615385</c:v>
                </c:pt>
                <c:pt idx="7">
                  <c:v>176.36153846153846</c:v>
                </c:pt>
                <c:pt idx="8">
                  <c:v>175.3153846153846</c:v>
                </c:pt>
                <c:pt idx="9">
                  <c:v>175.32307692307691</c:v>
                </c:pt>
                <c:pt idx="10">
                  <c:v>176.12307692307695</c:v>
                </c:pt>
                <c:pt idx="11">
                  <c:v>177.45384615384617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55-41B4-A7FF-1B0418E498D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44980927"/>
        <c:axId val="444981407"/>
      </c:barChart>
      <c:catAx>
        <c:axId val="444980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981407"/>
        <c:crosses val="autoZero"/>
        <c:auto val="1"/>
        <c:lblAlgn val="ctr"/>
        <c:lblOffset val="100"/>
        <c:noMultiLvlLbl val="0"/>
      </c:catAx>
      <c:valAx>
        <c:axId val="44498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980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[All_India_Index_Upto_April23.xlsx]Ans5(a)!PivotTable13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March 2022 shows highest change 19.99% while Dec 20222 shows the lowest -10.8%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3716635830357271E-2"/>
              <c:y val="4.268505454159270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4184152527382166E-2"/>
              <c:y val="3.44274162261509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2346690953248332E-2"/>
              <c:y val="2.616977791070913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6.270491803278691E-2"/>
              <c:y val="1.515959349011999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5.6633272616879171E-2"/>
              <c:y val="3.44274162261510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2346690953248387E-2"/>
              <c:y val="3.71799623312981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5.1760777170613238E-3"/>
              <c:y val="3.167487012100356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1.3038858530661921E-2"/>
              <c:y val="3.717996233129828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8.6369156041287195E-3"/>
              <c:y val="6.901955174678208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6.1187006678809955E-2"/>
              <c:y val="2.341723180556187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1.9630418465451271E-2"/>
              <c:y val="5.36952389621817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7.0294474802671522E-2"/>
              <c:y val="-1.355683140763473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4.7055251973284758E-4"/>
              <c:y val="-1.236586756135251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0255797943289985E-2"/>
              <c:y val="4.268505454159275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386460230722526E-2"/>
              <c:y val="2.892232401585629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1.5076684403520599E-2"/>
              <c:y val="-3.16336902973834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9363266067151445E-2"/>
              <c:y val="-4.264387471797244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1.5649666059502125E-2"/>
              <c:y val="-5.640660524370869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9.5780206435944135E-3"/>
              <c:y val="3.44274162261509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1.5281542676018013E-2"/>
              <c:y val="-2.337605198194161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4.9988645544989933E-2"/>
              <c:y val="-5.640660524370869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5.9669095324833055E-2"/>
              <c:y val="-9.613321456205256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7.4871276336359593E-3"/>
              <c:y val="-1.51184136664997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'Ans5(a)'!$B$51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Pt>
            <c:idx val="0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3F6-4388-9352-C00E366C4921}"/>
              </c:ext>
            </c:extLst>
          </c:dPt>
          <c:dPt>
            <c:idx val="3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8-13F6-4388-9352-C00E366C4921}"/>
              </c:ext>
            </c:extLst>
          </c:dPt>
          <c:dPt>
            <c:idx val="4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13F6-4388-9352-C00E366C4921}"/>
              </c:ext>
            </c:extLst>
          </c:dPt>
          <c:dPt>
            <c:idx val="5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13F6-4388-9352-C00E366C4921}"/>
              </c:ext>
            </c:extLst>
          </c:dPt>
          <c:dPt>
            <c:idx val="7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13F6-4388-9352-C00E366C4921}"/>
              </c:ext>
            </c:extLst>
          </c:dPt>
          <c:dPt>
            <c:idx val="8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3F6-4388-9352-C00E366C4921}"/>
              </c:ext>
            </c:extLst>
          </c:dPt>
          <c:dPt>
            <c:idx val="10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3F6-4388-9352-C00E366C4921}"/>
              </c:ext>
            </c:extLst>
          </c:dPt>
          <c:dPt>
            <c:idx val="12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13F6-4388-9352-C00E366C4921}"/>
              </c:ext>
            </c:extLst>
          </c:dPt>
          <c:dPt>
            <c:idx val="14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13F6-4388-9352-C00E366C4921}"/>
              </c:ext>
            </c:extLst>
          </c:dPt>
          <c:dPt>
            <c:idx val="15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3F6-4388-9352-C00E366C4921}"/>
              </c:ext>
            </c:extLst>
          </c:dPt>
          <c:dPt>
            <c:idx val="17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13F6-4388-9352-C00E366C4921}"/>
              </c:ext>
            </c:extLst>
          </c:dPt>
          <c:dPt>
            <c:idx val="19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13F6-4388-9352-C00E366C4921}"/>
              </c:ext>
            </c:extLst>
          </c:dPt>
          <c:dPt>
            <c:idx val="20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13F6-4388-9352-C00E366C4921}"/>
              </c:ext>
            </c:extLst>
          </c:dPt>
          <c:dPt>
            <c:idx val="21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13F6-4388-9352-C00E366C4921}"/>
              </c:ext>
            </c:extLst>
          </c:dPt>
          <c:dPt>
            <c:idx val="22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13F6-4388-9352-C00E366C4921}"/>
              </c:ext>
            </c:extLst>
          </c:dPt>
          <c:dPt>
            <c:idx val="23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13F6-4388-9352-C00E366C4921}"/>
              </c:ext>
            </c:extLst>
          </c:dPt>
          <c:dPt>
            <c:idx val="25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3F6-4388-9352-C00E366C4921}"/>
              </c:ext>
            </c:extLst>
          </c:dPt>
          <c:dPt>
            <c:idx val="26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13F6-4388-9352-C00E366C4921}"/>
              </c:ext>
            </c:extLst>
          </c:dPt>
          <c:dPt>
            <c:idx val="28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13F6-4388-9352-C00E366C4921}"/>
              </c:ext>
            </c:extLst>
          </c:dPt>
          <c:dPt>
            <c:idx val="30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13F6-4388-9352-C00E366C4921}"/>
              </c:ext>
            </c:extLst>
          </c:dPt>
          <c:dPt>
            <c:idx val="31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3F6-4388-9352-C00E366C4921}"/>
              </c:ext>
            </c:extLst>
          </c:dPt>
          <c:dPt>
            <c:idx val="32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13F6-4388-9352-C00E366C4921}"/>
              </c:ext>
            </c:extLst>
          </c:dPt>
          <c:dPt>
            <c:idx val="34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13F6-4388-9352-C00E366C4921}"/>
              </c:ext>
            </c:extLst>
          </c:dPt>
          <c:dLbls>
            <c:dLbl>
              <c:idx val="0"/>
              <c:layout>
                <c:manualLayout>
                  <c:x val="-2.4184152527382166E-2"/>
                  <c:y val="3.4427416226150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F6-4388-9352-C00E366C4921}"/>
                </c:ext>
              </c:extLst>
            </c:dLbl>
            <c:dLbl>
              <c:idx val="3"/>
              <c:layout>
                <c:manualLayout>
                  <c:x val="-7.4871276336359593E-3"/>
                  <c:y val="-1.5118413666499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13F6-4388-9352-C00E366C4921}"/>
                </c:ext>
              </c:extLst>
            </c:dLbl>
            <c:dLbl>
              <c:idx val="4"/>
              <c:layout>
                <c:manualLayout>
                  <c:x val="-3.2346690953248332E-2"/>
                  <c:y val="2.61697779107091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3F6-4388-9352-C00E366C4921}"/>
                </c:ext>
              </c:extLst>
            </c:dLbl>
            <c:dLbl>
              <c:idx val="5"/>
              <c:layout>
                <c:manualLayout>
                  <c:x val="-4.9988645544989933E-2"/>
                  <c:y val="-5.64066052437086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13F6-4388-9352-C00E366C4921}"/>
                </c:ext>
              </c:extLst>
            </c:dLbl>
            <c:dLbl>
              <c:idx val="7"/>
              <c:layout>
                <c:manualLayout>
                  <c:x val="-5.9669095324833055E-2"/>
                  <c:y val="-9.6133214562052569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13F6-4388-9352-C00E366C4921}"/>
                </c:ext>
              </c:extLst>
            </c:dLbl>
            <c:dLbl>
              <c:idx val="8"/>
              <c:layout>
                <c:manualLayout>
                  <c:x val="-6.270491803278691E-2"/>
                  <c:y val="1.51595934901199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3F6-4388-9352-C00E366C4921}"/>
                </c:ext>
              </c:extLst>
            </c:dLbl>
            <c:dLbl>
              <c:idx val="10"/>
              <c:layout>
                <c:manualLayout>
                  <c:x val="-3.3716635830357271E-2"/>
                  <c:y val="4.26850545415927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F6-4388-9352-C00E366C4921}"/>
                </c:ext>
              </c:extLst>
            </c:dLbl>
            <c:dLbl>
              <c:idx val="12"/>
              <c:layout>
                <c:manualLayout>
                  <c:x val="-5.6633272616879171E-2"/>
                  <c:y val="3.44274162261510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3F6-4388-9352-C00E366C4921}"/>
                </c:ext>
              </c:extLst>
            </c:dLbl>
            <c:dLbl>
              <c:idx val="14"/>
              <c:layout>
                <c:manualLayout>
                  <c:x val="1.5281542676018013E-2"/>
                  <c:y val="-2.33760519819416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3F6-4388-9352-C00E366C4921}"/>
                </c:ext>
              </c:extLst>
            </c:dLbl>
            <c:dLbl>
              <c:idx val="15"/>
              <c:layout>
                <c:manualLayout>
                  <c:x val="-3.2346690953248387E-2"/>
                  <c:y val="3.7179962331298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3F6-4388-9352-C00E366C4921}"/>
                </c:ext>
              </c:extLst>
            </c:dLbl>
            <c:dLbl>
              <c:idx val="17"/>
              <c:layout>
                <c:manualLayout>
                  <c:x val="-9.5780206435944135E-3"/>
                  <c:y val="3.4427416226150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13F6-4388-9352-C00E366C4921}"/>
                </c:ext>
              </c:extLst>
            </c:dLbl>
            <c:dLbl>
              <c:idx val="19"/>
              <c:layout>
                <c:manualLayout>
                  <c:x val="-1.5649666059502125E-2"/>
                  <c:y val="-5.64066052437086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13F6-4388-9352-C00E366C4921}"/>
                </c:ext>
              </c:extLst>
            </c:dLbl>
            <c:dLbl>
              <c:idx val="20"/>
              <c:layout>
                <c:manualLayout>
                  <c:x val="5.1760777170613238E-3"/>
                  <c:y val="3.16748701210035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3F6-4388-9352-C00E366C4921}"/>
                </c:ext>
              </c:extLst>
            </c:dLbl>
            <c:dLbl>
              <c:idx val="21"/>
              <c:layout>
                <c:manualLayout>
                  <c:x val="-3.9363266067151445E-2"/>
                  <c:y val="-4.26438747179724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13F6-4388-9352-C00E366C4921}"/>
                </c:ext>
              </c:extLst>
            </c:dLbl>
            <c:dLbl>
              <c:idx val="22"/>
              <c:layout>
                <c:manualLayout>
                  <c:x val="-1.5076684403520599E-2"/>
                  <c:y val="-3.1633690297383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13F6-4388-9352-C00E366C4921}"/>
                </c:ext>
              </c:extLst>
            </c:dLbl>
            <c:dLbl>
              <c:idx val="23"/>
              <c:layout>
                <c:manualLayout>
                  <c:x val="-3.386460230722526E-2"/>
                  <c:y val="2.89223240158562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13F6-4388-9352-C00E366C4921}"/>
                </c:ext>
              </c:extLst>
            </c:dLbl>
            <c:dLbl>
              <c:idx val="25"/>
              <c:layout>
                <c:manualLayout>
                  <c:x val="-1.3038858530661921E-2"/>
                  <c:y val="3.71799623312982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3F6-4388-9352-C00E366C4921}"/>
                </c:ext>
              </c:extLst>
            </c:dLbl>
            <c:dLbl>
              <c:idx val="26"/>
              <c:layout>
                <c:manualLayout>
                  <c:x val="-4.7055251973284758E-4"/>
                  <c:y val="-1.23658675613525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13F6-4388-9352-C00E366C4921}"/>
                </c:ext>
              </c:extLst>
            </c:dLbl>
            <c:dLbl>
              <c:idx val="28"/>
              <c:layout>
                <c:manualLayout>
                  <c:x val="-3.0255797943289985E-2"/>
                  <c:y val="4.26850545415927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3F6-4388-9352-C00E366C4921}"/>
                </c:ext>
              </c:extLst>
            </c:dLbl>
            <c:dLbl>
              <c:idx val="30"/>
              <c:layout>
                <c:manualLayout>
                  <c:x val="-7.0294474802671522E-2"/>
                  <c:y val="-1.3556831407634739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3F6-4388-9352-C00E366C4921}"/>
                </c:ext>
              </c:extLst>
            </c:dLbl>
            <c:dLbl>
              <c:idx val="31"/>
              <c:layout>
                <c:manualLayout>
                  <c:x val="-6.1187006678809955E-2"/>
                  <c:y val="2.34172318055618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3F6-4388-9352-C00E366C4921}"/>
                </c:ext>
              </c:extLst>
            </c:dLbl>
            <c:dLbl>
              <c:idx val="32"/>
              <c:layout>
                <c:manualLayout>
                  <c:x val="8.6369156041287195E-3"/>
                  <c:y val="6.9019551746782089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3F6-4388-9352-C00E366C4921}"/>
                </c:ext>
              </c:extLst>
            </c:dLbl>
            <c:dLbl>
              <c:idx val="34"/>
              <c:layout>
                <c:manualLayout>
                  <c:x val="-1.9630418465451271E-2"/>
                  <c:y val="5.36952389621817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3F6-4388-9352-C00E366C49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'Ans5(a)'!$A$52:$A$92</c:f>
              <c:multiLvlStrCache>
                <c:ptCount val="36"/>
                <c:lvl>
                  <c:pt idx="0">
                    <c:v>Apr</c:v>
                  </c:pt>
                  <c:pt idx="1">
                    <c:v>May</c:v>
                  </c:pt>
                  <c:pt idx="2">
                    <c:v>Jun</c:v>
                  </c:pt>
                  <c:pt idx="3">
                    <c:v>Jul</c:v>
                  </c:pt>
                  <c:pt idx="4">
                    <c:v>Aug</c:v>
                  </c:pt>
                  <c:pt idx="5">
                    <c:v>Sep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9">
                    <c:v>Jan</c:v>
                  </c:pt>
                  <c:pt idx="10">
                    <c:v>Feb</c:v>
                  </c:pt>
                  <c:pt idx="11">
                    <c:v>Mar</c:v>
                  </c:pt>
                  <c:pt idx="12">
                    <c:v>Apr</c:v>
                  </c:pt>
                  <c:pt idx="13">
                    <c:v>May</c:v>
                  </c:pt>
                  <c:pt idx="14">
                    <c:v>Jun</c:v>
                  </c:pt>
                  <c:pt idx="15">
                    <c:v>Jul</c:v>
                  </c:pt>
                  <c:pt idx="16">
                    <c:v>Aug</c:v>
                  </c:pt>
                  <c:pt idx="17">
                    <c:v>Sep</c:v>
                  </c:pt>
                  <c:pt idx="18">
                    <c:v>Oct</c:v>
                  </c:pt>
                  <c:pt idx="19">
                    <c:v>Nov</c:v>
                  </c:pt>
                  <c:pt idx="20">
                    <c:v>Dec</c:v>
                  </c:pt>
                  <c:pt idx="21">
                    <c:v>Jan</c:v>
                  </c:pt>
                  <c:pt idx="22">
                    <c:v>Feb</c:v>
                  </c:pt>
                  <c:pt idx="23">
                    <c:v>Mar</c:v>
                  </c:pt>
                  <c:pt idx="24">
                    <c:v>Apr</c:v>
                  </c:pt>
                  <c:pt idx="25">
                    <c:v>May</c:v>
                  </c:pt>
                  <c:pt idx="26">
                    <c:v>Jun</c:v>
                  </c:pt>
                  <c:pt idx="27">
                    <c:v>Jul</c:v>
                  </c:pt>
                  <c:pt idx="28">
                    <c:v>Aug</c:v>
                  </c:pt>
                  <c:pt idx="29">
                    <c:v>Sep</c:v>
                  </c:pt>
                  <c:pt idx="30">
                    <c:v>Oct</c:v>
                  </c:pt>
                  <c:pt idx="31">
                    <c:v>Nov</c:v>
                  </c:pt>
                  <c:pt idx="32">
                    <c:v>Dec</c:v>
                  </c:pt>
                  <c:pt idx="33">
                    <c:v>Jan</c:v>
                  </c:pt>
                  <c:pt idx="34">
                    <c:v>Feb</c:v>
                  </c:pt>
                  <c:pt idx="35">
                    <c:v>Mar</c:v>
                  </c:pt>
                </c:lvl>
                <c:lvl>
                  <c:pt idx="0">
                    <c:v>2021</c:v>
                  </c:pt>
                  <c:pt idx="9">
                    <c:v>2022</c:v>
                  </c:pt>
                  <c:pt idx="21">
                    <c:v>2023</c:v>
                  </c:pt>
                  <c:pt idx="33">
                    <c:v>2024</c:v>
                  </c:pt>
                </c:lvl>
              </c:multiLvlStrCache>
            </c:multiLvlStrRef>
          </c:cat>
          <c:val>
            <c:numRef>
              <c:f>'Ans5(a)'!$B$52:$B$92</c:f>
              <c:numCache>
                <c:formatCode>0.00%</c:formatCode>
                <c:ptCount val="36"/>
                <c:pt idx="0">
                  <c:v>0</c:v>
                </c:pt>
                <c:pt idx="1">
                  <c:v>5.6092712133380143E-2</c:v>
                </c:pt>
                <c:pt idx="2">
                  <c:v>7.512070034381102E-2</c:v>
                </c:pt>
                <c:pt idx="3">
                  <c:v>2.1622058941749817E-2</c:v>
                </c:pt>
                <c:pt idx="4">
                  <c:v>-5.078030739324535E-2</c:v>
                </c:pt>
                <c:pt idx="5">
                  <c:v>4.7647403493843964E-2</c:v>
                </c:pt>
                <c:pt idx="6">
                  <c:v>0.122748049582014</c:v>
                </c:pt>
                <c:pt idx="7">
                  <c:v>-1.7904511325026917E-2</c:v>
                </c:pt>
                <c:pt idx="8">
                  <c:v>-9.1005991108670498E-2</c:v>
                </c:pt>
                <c:pt idx="9">
                  <c:v>0.15508428007030658</c:v>
                </c:pt>
                <c:pt idx="10">
                  <c:v>0.11104057112312367</c:v>
                </c:pt>
                <c:pt idx="11">
                  <c:v>0.19993126557988886</c:v>
                </c:pt>
                <c:pt idx="12">
                  <c:v>-8.7785717712309114E-2</c:v>
                </c:pt>
                <c:pt idx="13">
                  <c:v>6.3506788685496113E-2</c:v>
                </c:pt>
                <c:pt idx="14">
                  <c:v>5.9415963389681525E-2</c:v>
                </c:pt>
                <c:pt idx="15">
                  <c:v>-9.0681941866876919E-2</c:v>
                </c:pt>
                <c:pt idx="16">
                  <c:v>-7.6658321402549315E-2</c:v>
                </c:pt>
                <c:pt idx="17">
                  <c:v>-6.8766052866020555E-2</c:v>
                </c:pt>
                <c:pt idx="18">
                  <c:v>1.0943048058662044E-2</c:v>
                </c:pt>
                <c:pt idx="19">
                  <c:v>-4.5220612565410795E-2</c:v>
                </c:pt>
                <c:pt idx="20">
                  <c:v>-0.1079506472833215</c:v>
                </c:pt>
                <c:pt idx="21">
                  <c:v>3.6124114857364886E-2</c:v>
                </c:pt>
                <c:pt idx="22">
                  <c:v>1.676222127830582E-2</c:v>
                </c:pt>
                <c:pt idx="23">
                  <c:v>-4.5445857664744529E-2</c:v>
                </c:pt>
                <c:pt idx="24">
                  <c:v>6.6410907167830421E-2</c:v>
                </c:pt>
                <c:pt idx="25">
                  <c:v>-0.10475521515911457</c:v>
                </c:pt>
                <c:pt idx="26">
                  <c:v>-7.1078554052242632E-4</c:v>
                </c:pt>
                <c:pt idx="27">
                  <c:v>7.2605996490566385E-2</c:v>
                </c:pt>
                <c:pt idx="28">
                  <c:v>7.5380427705766209E-2</c:v>
                </c:pt>
                <c:pt idx="29">
                  <c:v>8.2296736176468127E-2</c:v>
                </c:pt>
                <c:pt idx="30">
                  <c:v>-3.6979055010011544E-2</c:v>
                </c:pt>
                <c:pt idx="31">
                  <c:v>-7.3545177406463519E-2</c:v>
                </c:pt>
                <c:pt idx="32">
                  <c:v>-7.2321849532905103E-2</c:v>
                </c:pt>
                <c:pt idx="33">
                  <c:v>2.3208813930205342E-2</c:v>
                </c:pt>
                <c:pt idx="34">
                  <c:v>3.0364110924550509E-2</c:v>
                </c:pt>
                <c:pt idx="35">
                  <c:v>3.510090310170208E-2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F6-4388-9352-C00E366C492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51032704"/>
        <c:axId val="651042304"/>
      </c:lineChart>
      <c:catAx>
        <c:axId val="65103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042304"/>
        <c:crosses val="autoZero"/>
        <c:auto val="1"/>
        <c:lblAlgn val="ctr"/>
        <c:lblOffset val="100"/>
        <c:noMultiLvlLbl val="0"/>
      </c:catAx>
      <c:valAx>
        <c:axId val="65104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03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[All_India_Index_Upto_April23.xlsx]Ans4!PivotTable2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Moderate</a:t>
            </a:r>
            <a:r>
              <a:rPr lang="en-US" baseline="0"/>
              <a:t> Volatality before onset while high volatility after onset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2.5259515570934254E-3"/>
              <c:y val="9.955247649654518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86159169550173E-2"/>
              <c:y val="4.250206829498893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4.8327566320645905E-3"/>
              <c:y val="3.1173832667687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8996539792387541E-2"/>
              <c:y val="3.400589157451325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2.5259515570934254E-3"/>
              <c:y val="-2.82994043756425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9714555576746677E-2"/>
              <c:y val="-7.92764646984972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6.5453323524866582E-4"/>
              <c:y val="2.26776559472122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4.432816572668901E-2"/>
              <c:y val="-3.67955810961182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2.1914648212226066E-4"/>
              <c:y val="2.550971485403746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9590769146936218E-3"/>
              <c:y val="3.11738326676879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9.7260896021215335E-3"/>
              <c:y val="-4.52917578165940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7027127664405272E-2"/>
              <c:y val="3.96700093881637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4.8941775876631378E-2"/>
              <c:y val="2.1184692610006385E-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1.8079357727342059E-3"/>
              <c:y val="-2.26352865619920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3566920051948523E-2"/>
              <c:y val="3.11738326676879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5.8604382929642443E-2"/>
              <c:y val="2.1184692610110228E-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5.629757785467128E-2"/>
              <c:y val="-1.130705093469104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9.3425605536332185E-4"/>
              <c:y val="-1.130705093469104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1.5493102289549447E-2"/>
              <c:y val="3.967000938816377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8561153039261178E-2"/>
              <c:y val="3.967000938816377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6.2658819896648709E-3"/>
              <c:y val="-4.24596989097687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0106712439491775E-2"/>
              <c:y val="4.250206829498903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8056743772080393E-3"/>
              <c:y val="-5.37879345370698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1.6522718397226259E-3"/>
              <c:y val="-2.54673454688172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5.2681433851909532E-3"/>
              <c:y val="-2.829940437564256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4.3174763189203429E-2"/>
              <c:y val="-3.962764000294350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5.1124794521792043E-3"/>
              <c:y val="-4.52917578165940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7.4192845271503693E-3"/>
              <c:y val="-4.24596989097689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4.8941775876631337E-2"/>
              <c:y val="2.1184692610110228E-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1.2032894677092698E-2"/>
              <c:y val="4.250206829498903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1.0226412009917614E-2"/>
              <c:y val="4.250206829498903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6.2658819896647868E-3"/>
              <c:y val="-3.962764000294355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3.679354094579008E-3"/>
              <c:y val="-3.396352218929303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5.629757785467128E-2"/>
              <c:y val="-2.82994043756425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'Ans4'!$B$58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Pt>
            <c:idx val="1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4F47-470A-A8F8-B4E418183C9D}"/>
              </c:ext>
            </c:extLst>
          </c:dPt>
          <c:dPt>
            <c:idx val="2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4F47-470A-A8F8-B4E418183C9D}"/>
              </c:ext>
            </c:extLst>
          </c:dPt>
          <c:dPt>
            <c:idx val="4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4F47-470A-A8F8-B4E418183C9D}"/>
              </c:ext>
            </c:extLst>
          </c:dPt>
          <c:dPt>
            <c:idx val="5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F47-470A-A8F8-B4E418183C9D}"/>
              </c:ext>
            </c:extLst>
          </c:dPt>
          <c:dPt>
            <c:idx val="7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4F47-470A-A8F8-B4E418183C9D}"/>
              </c:ext>
            </c:extLst>
          </c:dPt>
          <c:dPt>
            <c:idx val="8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F47-470A-A8F8-B4E418183C9D}"/>
              </c:ext>
            </c:extLst>
          </c:dPt>
          <c:dPt>
            <c:idx val="10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4F47-470A-A8F8-B4E418183C9D}"/>
              </c:ext>
            </c:extLst>
          </c:dPt>
          <c:dPt>
            <c:idx val="11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F47-470A-A8F8-B4E418183C9D}"/>
              </c:ext>
            </c:extLst>
          </c:dPt>
          <c:dPt>
            <c:idx val="12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4F47-470A-A8F8-B4E418183C9D}"/>
              </c:ext>
            </c:extLst>
          </c:dPt>
          <c:dPt>
            <c:idx val="13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4F47-470A-A8F8-B4E418183C9D}"/>
              </c:ext>
            </c:extLst>
          </c:dPt>
          <c:dPt>
            <c:idx val="14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F47-470A-A8F8-B4E418183C9D}"/>
              </c:ext>
            </c:extLst>
          </c:dPt>
          <c:dPt>
            <c:idx val="16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4F47-470A-A8F8-B4E418183C9D}"/>
              </c:ext>
            </c:extLst>
          </c:dPt>
          <c:dPt>
            <c:idx val="18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4F47-470A-A8F8-B4E418183C9D}"/>
              </c:ext>
            </c:extLst>
          </c:dPt>
          <c:dPt>
            <c:idx val="19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4F47-470A-A8F8-B4E418183C9D}"/>
              </c:ext>
            </c:extLst>
          </c:dPt>
          <c:dPt>
            <c:idx val="21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4F47-470A-A8F8-B4E418183C9D}"/>
              </c:ext>
            </c:extLst>
          </c:dPt>
          <c:dPt>
            <c:idx val="23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4F47-470A-A8F8-B4E418183C9D}"/>
              </c:ext>
            </c:extLst>
          </c:dPt>
          <c:dPt>
            <c:idx val="24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4F47-470A-A8F8-B4E418183C9D}"/>
              </c:ext>
            </c:extLst>
          </c:dPt>
          <c:dPt>
            <c:idx val="25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4F47-470A-A8F8-B4E418183C9D}"/>
              </c:ext>
            </c:extLst>
          </c:dPt>
          <c:dPt>
            <c:idx val="27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4F47-470A-A8F8-B4E418183C9D}"/>
              </c:ext>
            </c:extLst>
          </c:dPt>
          <c:dPt>
            <c:idx val="28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4F47-470A-A8F8-B4E418183C9D}"/>
              </c:ext>
            </c:extLst>
          </c:dPt>
          <c:dPt>
            <c:idx val="29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4F47-470A-A8F8-B4E418183C9D}"/>
              </c:ext>
            </c:extLst>
          </c:dPt>
          <c:dPt>
            <c:idx val="31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4F47-470A-A8F8-B4E418183C9D}"/>
              </c:ext>
            </c:extLst>
          </c:dPt>
          <c:dPt>
            <c:idx val="33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A-4F47-470A-A8F8-B4E418183C9D}"/>
              </c:ext>
            </c:extLst>
          </c:dPt>
          <c:dPt>
            <c:idx val="34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8-4F47-470A-A8F8-B4E418183C9D}"/>
              </c:ext>
            </c:extLst>
          </c:dPt>
          <c:dPt>
            <c:idx val="35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4F47-470A-A8F8-B4E418183C9D}"/>
              </c:ext>
            </c:extLst>
          </c:dPt>
          <c:dPt>
            <c:idx val="36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2-4F47-470A-A8F8-B4E418183C9D}"/>
              </c:ext>
            </c:extLst>
          </c:dPt>
          <c:dPt>
            <c:idx val="37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4F47-470A-A8F8-B4E418183C9D}"/>
              </c:ext>
            </c:extLst>
          </c:dPt>
          <c:dPt>
            <c:idx val="38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4F47-470A-A8F8-B4E418183C9D}"/>
              </c:ext>
            </c:extLst>
          </c:dPt>
          <c:dPt>
            <c:idx val="40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C-4F47-470A-A8F8-B4E418183C9D}"/>
              </c:ext>
            </c:extLst>
          </c:dPt>
          <c:dPt>
            <c:idx val="41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4F47-470A-A8F8-B4E418183C9D}"/>
              </c:ext>
            </c:extLst>
          </c:dPt>
          <c:dPt>
            <c:idx val="42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E-4F47-470A-A8F8-B4E418183C9D}"/>
              </c:ext>
            </c:extLst>
          </c:dPt>
          <c:dPt>
            <c:idx val="43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4F47-470A-A8F8-B4E418183C9D}"/>
              </c:ext>
            </c:extLst>
          </c:dPt>
          <c:dPt>
            <c:idx val="45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4F47-470A-A8F8-B4E418183C9D}"/>
              </c:ext>
            </c:extLst>
          </c:dPt>
          <c:dPt>
            <c:idx val="46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0-4F47-470A-A8F8-B4E418183C9D}"/>
              </c:ext>
            </c:extLst>
          </c:dPt>
          <c:dLbls>
            <c:dLbl>
              <c:idx val="1"/>
              <c:layout>
                <c:manualLayout>
                  <c:x val="2.5259515570934254E-3"/>
                  <c:y val="9.955247649654518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F47-470A-A8F8-B4E418183C9D}"/>
                </c:ext>
              </c:extLst>
            </c:dLbl>
            <c:dLbl>
              <c:idx val="2"/>
              <c:layout>
                <c:manualLayout>
                  <c:x val="2.1914648212226066E-4"/>
                  <c:y val="2.55097148540374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F47-470A-A8F8-B4E418183C9D}"/>
                </c:ext>
              </c:extLst>
            </c:dLbl>
            <c:dLbl>
              <c:idx val="4"/>
              <c:layout>
                <c:manualLayout>
                  <c:x val="-3.9590769146936218E-3"/>
                  <c:y val="3.117383266768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F47-470A-A8F8-B4E418183C9D}"/>
                </c:ext>
              </c:extLst>
            </c:dLbl>
            <c:dLbl>
              <c:idx val="5"/>
              <c:layout>
                <c:manualLayout>
                  <c:x val="-4.432816572668901E-2"/>
                  <c:y val="-3.67955810961182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F47-470A-A8F8-B4E418183C9D}"/>
                </c:ext>
              </c:extLst>
            </c:dLbl>
            <c:dLbl>
              <c:idx val="7"/>
              <c:layout>
                <c:manualLayout>
                  <c:x val="-9.7260896021215335E-3"/>
                  <c:y val="-4.52917578165940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F47-470A-A8F8-B4E418183C9D}"/>
                </c:ext>
              </c:extLst>
            </c:dLbl>
            <c:dLbl>
              <c:idx val="8"/>
              <c:layout>
                <c:manualLayout>
                  <c:x val="-2.86159169550173E-2"/>
                  <c:y val="4.25020682949889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F47-470A-A8F8-B4E418183C9D}"/>
                </c:ext>
              </c:extLst>
            </c:dLbl>
            <c:dLbl>
              <c:idx val="10"/>
              <c:layout>
                <c:manualLayout>
                  <c:x val="2.5259515570934254E-3"/>
                  <c:y val="-2.8299404375642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F47-470A-A8F8-B4E418183C9D}"/>
                </c:ext>
              </c:extLst>
            </c:dLbl>
            <c:dLbl>
              <c:idx val="11"/>
              <c:layout>
                <c:manualLayout>
                  <c:x val="-3.8996539792387541E-2"/>
                  <c:y val="3.400589157451325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F47-470A-A8F8-B4E418183C9D}"/>
                </c:ext>
              </c:extLst>
            </c:dLbl>
            <c:dLbl>
              <c:idx val="12"/>
              <c:layout>
                <c:manualLayout>
                  <c:x val="4.8327566320645905E-3"/>
                  <c:y val="3.1173832667687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F47-470A-A8F8-B4E418183C9D}"/>
                </c:ext>
              </c:extLst>
            </c:dLbl>
            <c:dLbl>
              <c:idx val="13"/>
              <c:layout>
                <c:manualLayout>
                  <c:x val="6.5453323524866582E-4"/>
                  <c:y val="2.26776559472122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F47-470A-A8F8-B4E418183C9D}"/>
                </c:ext>
              </c:extLst>
            </c:dLbl>
            <c:dLbl>
              <c:idx val="14"/>
              <c:layout>
                <c:manualLayout>
                  <c:x val="-3.9714555576746677E-2"/>
                  <c:y val="-7.92764646984972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F47-470A-A8F8-B4E418183C9D}"/>
                </c:ext>
              </c:extLst>
            </c:dLbl>
            <c:dLbl>
              <c:idx val="16"/>
              <c:layout>
                <c:manualLayout>
                  <c:x val="-2.7027127664405272E-2"/>
                  <c:y val="3.96700093881637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F47-470A-A8F8-B4E418183C9D}"/>
                </c:ext>
              </c:extLst>
            </c:dLbl>
            <c:dLbl>
              <c:idx val="18"/>
              <c:layout>
                <c:manualLayout>
                  <c:x val="-4.8941775876631378E-2"/>
                  <c:y val="2.1184692610006385E-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F47-470A-A8F8-B4E418183C9D}"/>
                </c:ext>
              </c:extLst>
            </c:dLbl>
            <c:dLbl>
              <c:idx val="19"/>
              <c:layout>
                <c:manualLayout>
                  <c:x val="1.8079357727342059E-3"/>
                  <c:y val="-2.26352865619920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F47-470A-A8F8-B4E418183C9D}"/>
                </c:ext>
              </c:extLst>
            </c:dLbl>
            <c:dLbl>
              <c:idx val="21"/>
              <c:layout>
                <c:manualLayout>
                  <c:x val="-2.3566920051948523E-2"/>
                  <c:y val="3.117383266768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F47-470A-A8F8-B4E418183C9D}"/>
                </c:ext>
              </c:extLst>
            </c:dLbl>
            <c:dLbl>
              <c:idx val="23"/>
              <c:layout>
                <c:manualLayout>
                  <c:x val="-5.8604382929642443E-2"/>
                  <c:y val="2.1184692610110228E-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F47-470A-A8F8-B4E418183C9D}"/>
                </c:ext>
              </c:extLst>
            </c:dLbl>
            <c:dLbl>
              <c:idx val="24"/>
              <c:layout>
                <c:manualLayout>
                  <c:x val="-5.629757785467128E-2"/>
                  <c:y val="-1.13070509346910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F47-470A-A8F8-B4E418183C9D}"/>
                </c:ext>
              </c:extLst>
            </c:dLbl>
            <c:dLbl>
              <c:idx val="25"/>
              <c:layout>
                <c:manualLayout>
                  <c:x val="-9.3425605536332185E-4"/>
                  <c:y val="-1.13070509346910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4F47-470A-A8F8-B4E418183C9D}"/>
                </c:ext>
              </c:extLst>
            </c:dLbl>
            <c:dLbl>
              <c:idx val="27"/>
              <c:layout>
                <c:manualLayout>
                  <c:x val="-6.2658819896648709E-3"/>
                  <c:y val="-4.24596989097687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4F47-470A-A8F8-B4E418183C9D}"/>
                </c:ext>
              </c:extLst>
            </c:dLbl>
            <c:dLbl>
              <c:idx val="28"/>
              <c:layout>
                <c:manualLayout>
                  <c:x val="-3.8561153039261178E-2"/>
                  <c:y val="3.96700093881637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F47-470A-A8F8-B4E418183C9D}"/>
                </c:ext>
              </c:extLst>
            </c:dLbl>
            <c:dLbl>
              <c:idx val="29"/>
              <c:layout>
                <c:manualLayout>
                  <c:x val="-1.5493102289549447E-2"/>
                  <c:y val="3.96700093881637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4F47-470A-A8F8-B4E418183C9D}"/>
                </c:ext>
              </c:extLst>
            </c:dLbl>
            <c:dLbl>
              <c:idx val="31"/>
              <c:layout>
                <c:manualLayout>
                  <c:x val="-2.0106712439491775E-2"/>
                  <c:y val="4.25020682949890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4F47-470A-A8F8-B4E418183C9D}"/>
                </c:ext>
              </c:extLst>
            </c:dLbl>
            <c:dLbl>
              <c:idx val="33"/>
              <c:layout>
                <c:manualLayout>
                  <c:x val="5.2681433851909532E-3"/>
                  <c:y val="-2.82994043756425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4F47-470A-A8F8-B4E418183C9D}"/>
                </c:ext>
              </c:extLst>
            </c:dLbl>
            <c:dLbl>
              <c:idx val="34"/>
              <c:layout>
                <c:manualLayout>
                  <c:x val="-2.8056743772080393E-3"/>
                  <c:y val="-5.3787934537069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4F47-470A-A8F8-B4E418183C9D}"/>
                </c:ext>
              </c:extLst>
            </c:dLbl>
            <c:dLbl>
              <c:idx val="35"/>
              <c:layout>
                <c:manualLayout>
                  <c:x val="-5.629757785467128E-2"/>
                  <c:y val="-2.8299404375642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4F47-470A-A8F8-B4E418183C9D}"/>
                </c:ext>
              </c:extLst>
            </c:dLbl>
            <c:dLbl>
              <c:idx val="36"/>
              <c:layout>
                <c:manualLayout>
                  <c:x val="3.679354094579008E-3"/>
                  <c:y val="-3.39635221892930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4F47-470A-A8F8-B4E418183C9D}"/>
                </c:ext>
              </c:extLst>
            </c:dLbl>
            <c:dLbl>
              <c:idx val="37"/>
              <c:layout>
                <c:manualLayout>
                  <c:x val="-1.6522718397226259E-3"/>
                  <c:y val="-2.54673454688172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4F47-470A-A8F8-B4E418183C9D}"/>
                </c:ext>
              </c:extLst>
            </c:dLbl>
            <c:dLbl>
              <c:idx val="38"/>
              <c:layout>
                <c:manualLayout>
                  <c:x val="-4.3174763189203429E-2"/>
                  <c:y val="-3.96276400029435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4F47-470A-A8F8-B4E418183C9D}"/>
                </c:ext>
              </c:extLst>
            </c:dLbl>
            <c:dLbl>
              <c:idx val="40"/>
              <c:layout>
                <c:manualLayout>
                  <c:x val="-5.1124794521792043E-3"/>
                  <c:y val="-4.52917578165940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4F47-470A-A8F8-B4E418183C9D}"/>
                </c:ext>
              </c:extLst>
            </c:dLbl>
            <c:dLbl>
              <c:idx val="41"/>
              <c:layout>
                <c:manualLayout>
                  <c:x val="-7.4192845271503693E-3"/>
                  <c:y val="-4.24596989097689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4F47-470A-A8F8-B4E418183C9D}"/>
                </c:ext>
              </c:extLst>
            </c:dLbl>
            <c:dLbl>
              <c:idx val="42"/>
              <c:layout>
                <c:manualLayout>
                  <c:x val="-4.8941775876631337E-2"/>
                  <c:y val="2.1184692610110228E-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4F47-470A-A8F8-B4E418183C9D}"/>
                </c:ext>
              </c:extLst>
            </c:dLbl>
            <c:dLbl>
              <c:idx val="43"/>
              <c:layout>
                <c:manualLayout>
                  <c:x val="-1.2032894677092698E-2"/>
                  <c:y val="4.25020682949890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4F47-470A-A8F8-B4E418183C9D}"/>
                </c:ext>
              </c:extLst>
            </c:dLbl>
            <c:dLbl>
              <c:idx val="45"/>
              <c:layout>
                <c:manualLayout>
                  <c:x val="-6.2658819896647868E-3"/>
                  <c:y val="-3.96276400029435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4F47-470A-A8F8-B4E418183C9D}"/>
                </c:ext>
              </c:extLst>
            </c:dLbl>
            <c:dLbl>
              <c:idx val="46"/>
              <c:layout>
                <c:manualLayout>
                  <c:x val="-1.0226412009917614E-2"/>
                  <c:y val="4.25020682949890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4F47-470A-A8F8-B4E418183C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'Ans4'!$A$59:$A$110</c:f>
              <c:multiLvlStrCache>
                <c:ptCount val="47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May</c:v>
                  </c:pt>
                  <c:pt idx="16">
                    <c:v>June</c:v>
                  </c:pt>
                  <c:pt idx="17">
                    <c:v>July</c:v>
                  </c:pt>
                  <c:pt idx="18">
                    <c:v>August</c:v>
                  </c:pt>
                  <c:pt idx="19">
                    <c:v>September</c:v>
                  </c:pt>
                  <c:pt idx="20">
                    <c:v>October</c:v>
                  </c:pt>
                  <c:pt idx="21">
                    <c:v>November</c:v>
                  </c:pt>
                  <c:pt idx="22">
                    <c:v>December</c:v>
                  </c:pt>
                  <c:pt idx="23">
                    <c:v>January</c:v>
                  </c:pt>
                  <c:pt idx="24">
                    <c:v>February</c:v>
                  </c:pt>
                  <c:pt idx="25">
                    <c:v>March</c:v>
                  </c:pt>
                  <c:pt idx="26">
                    <c:v>April</c:v>
                  </c:pt>
                  <c:pt idx="27">
                    <c:v>May</c:v>
                  </c:pt>
                  <c:pt idx="28">
                    <c:v>June</c:v>
                  </c:pt>
                  <c:pt idx="29">
                    <c:v>July</c:v>
                  </c:pt>
                  <c:pt idx="30">
                    <c:v>August</c:v>
                  </c:pt>
                  <c:pt idx="31">
                    <c:v>September</c:v>
                  </c:pt>
                  <c:pt idx="32">
                    <c:v>October</c:v>
                  </c:pt>
                  <c:pt idx="33">
                    <c:v>November</c:v>
                  </c:pt>
                  <c:pt idx="34">
                    <c:v>December</c:v>
                  </c:pt>
                  <c:pt idx="35">
                    <c:v>January</c:v>
                  </c:pt>
                  <c:pt idx="36">
                    <c:v>February</c:v>
                  </c:pt>
                  <c:pt idx="37">
                    <c:v>March</c:v>
                  </c:pt>
                  <c:pt idx="38">
                    <c:v>April</c:v>
                  </c:pt>
                  <c:pt idx="39">
                    <c:v>May</c:v>
                  </c:pt>
                  <c:pt idx="40">
                    <c:v>June</c:v>
                  </c:pt>
                  <c:pt idx="41">
                    <c:v>July</c:v>
                  </c:pt>
                  <c:pt idx="42">
                    <c:v>August</c:v>
                  </c:pt>
                  <c:pt idx="43">
                    <c:v>September</c:v>
                  </c:pt>
                  <c:pt idx="44">
                    <c:v>October</c:v>
                  </c:pt>
                  <c:pt idx="45">
                    <c:v>November</c:v>
                  </c:pt>
                  <c:pt idx="46">
                    <c:v>December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  <c:pt idx="23">
                    <c:v>2020</c:v>
                  </c:pt>
                  <c:pt idx="35">
                    <c:v>2021</c:v>
                  </c:pt>
                </c:lvl>
              </c:multiLvlStrCache>
            </c:multiLvlStrRef>
          </c:cat>
          <c:val>
            <c:numRef>
              <c:f>'Ans4'!$B$59:$B$110</c:f>
              <c:numCache>
                <c:formatCode>0.00%</c:formatCode>
                <c:ptCount val="47"/>
                <c:pt idx="0">
                  <c:v>0</c:v>
                </c:pt>
                <c:pt idx="1">
                  <c:v>-6.3383893896099197E-3</c:v>
                </c:pt>
                <c:pt idx="2">
                  <c:v>-3.3184617086360447E-4</c:v>
                </c:pt>
                <c:pt idx="3">
                  <c:v>2.5449985246387375E-3</c:v>
                </c:pt>
                <c:pt idx="4">
                  <c:v>2.8328611898016322E-3</c:v>
                </c:pt>
                <c:pt idx="5">
                  <c:v>6.8970577445151456E-3</c:v>
                </c:pt>
                <c:pt idx="6">
                  <c:v>9.6553231800625867E-3</c:v>
                </c:pt>
                <c:pt idx="7">
                  <c:v>3.1395474721232059E-3</c:v>
                </c:pt>
                <c:pt idx="8">
                  <c:v>-5.0723073602416289E-3</c:v>
                </c:pt>
                <c:pt idx="9">
                  <c:v>1.8801750009038642E-3</c:v>
                </c:pt>
                <c:pt idx="10">
                  <c:v>-3.2480421523704145E-4</c:v>
                </c:pt>
                <c:pt idx="11">
                  <c:v>-4.1877256317690431E-3</c:v>
                </c:pt>
                <c:pt idx="12">
                  <c:v>-5.0391531322507375E-3</c:v>
                </c:pt>
                <c:pt idx="13">
                  <c:v>1.7125159409731618E-3</c:v>
                </c:pt>
                <c:pt idx="14">
                  <c:v>3.2736796158881754E-3</c:v>
                </c:pt>
                <c:pt idx="15">
                  <c:v>1.2145602204336451E-2</c:v>
                </c:pt>
                <c:pt idx="16">
                  <c:v>8.7760146147506223E-3</c:v>
                </c:pt>
                <c:pt idx="17">
                  <c:v>8.9127192670974756E-3</c:v>
                </c:pt>
                <c:pt idx="18">
                  <c:v>3.695491500369589E-3</c:v>
                </c:pt>
                <c:pt idx="19">
                  <c:v>4.5935900133247266E-3</c:v>
                </c:pt>
                <c:pt idx="20">
                  <c:v>1.0750811546650987E-2</c:v>
                </c:pt>
                <c:pt idx="21">
                  <c:v>1.0014849604586229E-2</c:v>
                </c:pt>
                <c:pt idx="22">
                  <c:v>1.4223681061305322E-2</c:v>
                </c:pt>
                <c:pt idx="23">
                  <c:v>-6.4052860465918678E-4</c:v>
                </c:pt>
                <c:pt idx="24">
                  <c:v>-8.5683443529886803E-3</c:v>
                </c:pt>
                <c:pt idx="25">
                  <c:v>-4.5933991153450466E-3</c:v>
                </c:pt>
                <c:pt idx="26">
                  <c:v>1.845838318236152E-2</c:v>
                </c:pt>
                <c:pt idx="27">
                  <c:v>5.0344017452596543E-3</c:v>
                </c:pt>
                <c:pt idx="28">
                  <c:v>2.7717482050427142E-3</c:v>
                </c:pt>
                <c:pt idx="29">
                  <c:v>0</c:v>
                </c:pt>
                <c:pt idx="30">
                  <c:v>1.1855601438656879E-2</c:v>
                </c:pt>
                <c:pt idx="31">
                  <c:v>4.5747761979990894E-3</c:v>
                </c:pt>
                <c:pt idx="32">
                  <c:v>1.4874029420437114E-2</c:v>
                </c:pt>
                <c:pt idx="33">
                  <c:v>1.6044161797462535E-2</c:v>
                </c:pt>
                <c:pt idx="34">
                  <c:v>5.9414119590773477E-3</c:v>
                </c:pt>
                <c:pt idx="35">
                  <c:v>-8.0540728340861359E-3</c:v>
                </c:pt>
                <c:pt idx="36">
                  <c:v>-7.1960771827037319E-3</c:v>
                </c:pt>
                <c:pt idx="37">
                  <c:v>2.2771007055800694E-3</c:v>
                </c:pt>
                <c:pt idx="38">
                  <c:v>9.0877091933060997E-3</c:v>
                </c:pt>
                <c:pt idx="39">
                  <c:v>1.9597272871412916E-2</c:v>
                </c:pt>
                <c:pt idx="40">
                  <c:v>9.8902124218576571E-3</c:v>
                </c:pt>
                <c:pt idx="41">
                  <c:v>6.5289027131902461E-3</c:v>
                </c:pt>
                <c:pt idx="42">
                  <c:v>1.6828320533611094E-3</c:v>
                </c:pt>
                <c:pt idx="43">
                  <c:v>3.0545543405189396E-5</c:v>
                </c:pt>
                <c:pt idx="44">
                  <c:v>1.2462201044625627E-2</c:v>
                </c:pt>
                <c:pt idx="45">
                  <c:v>6.8482818957977965E-3</c:v>
                </c:pt>
                <c:pt idx="46">
                  <c:v>-2.2472583448196605E-3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47-470A-A8F8-B4E418183C9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91422399"/>
        <c:axId val="1491415199"/>
      </c:lineChart>
      <c:catAx>
        <c:axId val="1491422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415199"/>
        <c:crosses val="autoZero"/>
        <c:auto val="1"/>
        <c:lblAlgn val="ctr"/>
        <c:lblOffset val="100"/>
        <c:noMultiLvlLbl val="0"/>
      </c:catAx>
      <c:valAx>
        <c:axId val="1491415199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422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[All_India_Index_Upto_April23.xlsx]Ans4!PivotTable10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Trend is orderly</a:t>
            </a:r>
            <a:r>
              <a:rPr lang="en-US" baseline="0"/>
              <a:t> with m</a:t>
            </a:r>
            <a:r>
              <a:rPr lang="en-US"/>
              <a:t>oderate</a:t>
            </a:r>
            <a:r>
              <a:rPr lang="en-US" baseline="0"/>
              <a:t> Volatility and Stable System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'Ans4'!$B$114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'Ans4'!$A$115:$A$143</c:f>
              <c:multiLvlStrCache>
                <c:ptCount val="25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May</c:v>
                  </c:pt>
                  <c:pt idx="16">
                    <c:v>June</c:v>
                  </c:pt>
                  <c:pt idx="17">
                    <c:v>July</c:v>
                  </c:pt>
                  <c:pt idx="18">
                    <c:v>August</c:v>
                  </c:pt>
                  <c:pt idx="19">
                    <c:v>September</c:v>
                  </c:pt>
                  <c:pt idx="20">
                    <c:v>October</c:v>
                  </c:pt>
                  <c:pt idx="21">
                    <c:v>November</c:v>
                  </c:pt>
                  <c:pt idx="22">
                    <c:v>December</c:v>
                  </c:pt>
                  <c:pt idx="23">
                    <c:v>January</c:v>
                  </c:pt>
                  <c:pt idx="24">
                    <c:v>February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  <c:pt idx="23">
                    <c:v>2020</c:v>
                  </c:pt>
                </c:lvl>
              </c:multiLvlStrCache>
            </c:multiLvlStrRef>
          </c:cat>
          <c:val>
            <c:numRef>
              <c:f>'Ans4'!$B$115:$B$143</c:f>
              <c:numCache>
                <c:formatCode>0.00%</c:formatCode>
                <c:ptCount val="25"/>
                <c:pt idx="0">
                  <c:v>0</c:v>
                </c:pt>
                <c:pt idx="1">
                  <c:v>-6.3383893896099197E-3</c:v>
                </c:pt>
                <c:pt idx="2">
                  <c:v>-3.3184617086360447E-4</c:v>
                </c:pt>
                <c:pt idx="3">
                  <c:v>2.5449985246387375E-3</c:v>
                </c:pt>
                <c:pt idx="4">
                  <c:v>2.8328611898016322E-3</c:v>
                </c:pt>
                <c:pt idx="5">
                  <c:v>6.8970577445151456E-3</c:v>
                </c:pt>
                <c:pt idx="6">
                  <c:v>9.6553231800625867E-3</c:v>
                </c:pt>
                <c:pt idx="7">
                  <c:v>3.1395474721232059E-3</c:v>
                </c:pt>
                <c:pt idx="8">
                  <c:v>-5.0723073602416289E-3</c:v>
                </c:pt>
                <c:pt idx="9">
                  <c:v>1.8801750009038642E-3</c:v>
                </c:pt>
                <c:pt idx="10">
                  <c:v>-3.2480421523704145E-4</c:v>
                </c:pt>
                <c:pt idx="11">
                  <c:v>-4.1877256317690431E-3</c:v>
                </c:pt>
                <c:pt idx="12">
                  <c:v>-5.0391531322507375E-3</c:v>
                </c:pt>
                <c:pt idx="13">
                  <c:v>1.7125159409731618E-3</c:v>
                </c:pt>
                <c:pt idx="14">
                  <c:v>3.2736796158881754E-3</c:v>
                </c:pt>
                <c:pt idx="15">
                  <c:v>1.2145602204336451E-2</c:v>
                </c:pt>
                <c:pt idx="16">
                  <c:v>8.7760146147506223E-3</c:v>
                </c:pt>
                <c:pt idx="17">
                  <c:v>8.9127192670974756E-3</c:v>
                </c:pt>
                <c:pt idx="18">
                  <c:v>3.695491500369589E-3</c:v>
                </c:pt>
                <c:pt idx="19">
                  <c:v>4.5935900133247266E-3</c:v>
                </c:pt>
                <c:pt idx="20">
                  <c:v>1.0750811546650987E-2</c:v>
                </c:pt>
                <c:pt idx="21">
                  <c:v>1.0014849604586229E-2</c:v>
                </c:pt>
                <c:pt idx="22">
                  <c:v>1.4223681061305322E-2</c:v>
                </c:pt>
                <c:pt idx="23">
                  <c:v>-6.4052860465918678E-4</c:v>
                </c:pt>
                <c:pt idx="24">
                  <c:v>-8.5683443529886803E-3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88-474C-A8EA-CA3A8DCD4CD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64262832"/>
        <c:axId val="1464255632"/>
      </c:lineChart>
      <c:catAx>
        <c:axId val="1464262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255632"/>
        <c:crosses val="autoZero"/>
        <c:auto val="1"/>
        <c:lblAlgn val="ctr"/>
        <c:lblOffset val="100"/>
        <c:noMultiLvlLbl val="0"/>
      </c:catAx>
      <c:valAx>
        <c:axId val="1464255632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262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[All_India_Index_Upto_April23.xlsx]Ans4!PivotTable11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Trend</a:t>
            </a:r>
            <a:r>
              <a:rPr lang="en-US" baseline="0"/>
              <a:t> is reactive with higher volatility and uncertainity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'Ans4'!$B$148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'Ans4'!$A$149:$A$175</c:f>
              <c:multiLvlStrCache>
                <c:ptCount val="24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</c:lvl>
                <c:lvl>
                  <c:pt idx="0">
                    <c:v>2020</c:v>
                  </c:pt>
                  <c:pt idx="12">
                    <c:v>2021</c:v>
                  </c:pt>
                </c:lvl>
              </c:multiLvlStrCache>
            </c:multiLvlStrRef>
          </c:cat>
          <c:val>
            <c:numRef>
              <c:f>'Ans4'!$B$149:$B$175</c:f>
              <c:numCache>
                <c:formatCode>0.00%</c:formatCode>
                <c:ptCount val="24"/>
                <c:pt idx="0">
                  <c:v>-6.4052860465918678E-4</c:v>
                </c:pt>
                <c:pt idx="1">
                  <c:v>-8.5683443529886803E-3</c:v>
                </c:pt>
                <c:pt idx="2">
                  <c:v>-4.5933991153450466E-3</c:v>
                </c:pt>
                <c:pt idx="3">
                  <c:v>1.845838318236152E-2</c:v>
                </c:pt>
                <c:pt idx="4">
                  <c:v>5.0344017452596543E-3</c:v>
                </c:pt>
                <c:pt idx="5">
                  <c:v>2.7717482050427142E-3</c:v>
                </c:pt>
                <c:pt idx="6">
                  <c:v>0</c:v>
                </c:pt>
                <c:pt idx="7">
                  <c:v>1.1855601438656879E-2</c:v>
                </c:pt>
                <c:pt idx="8">
                  <c:v>4.5747761979990894E-3</c:v>
                </c:pt>
                <c:pt idx="9">
                  <c:v>1.4874029420437114E-2</c:v>
                </c:pt>
                <c:pt idx="10">
                  <c:v>1.6044161797462535E-2</c:v>
                </c:pt>
                <c:pt idx="11">
                  <c:v>5.9414119590773477E-3</c:v>
                </c:pt>
                <c:pt idx="12">
                  <c:v>-8.0540728340861359E-3</c:v>
                </c:pt>
                <c:pt idx="13">
                  <c:v>-7.1960771827037319E-3</c:v>
                </c:pt>
                <c:pt idx="14">
                  <c:v>2.2771007055800694E-3</c:v>
                </c:pt>
                <c:pt idx="15">
                  <c:v>9.0877091933060997E-3</c:v>
                </c:pt>
                <c:pt idx="16">
                  <c:v>1.9597272871412916E-2</c:v>
                </c:pt>
                <c:pt idx="17">
                  <c:v>9.8902124218576571E-3</c:v>
                </c:pt>
                <c:pt idx="18">
                  <c:v>6.5289027131902461E-3</c:v>
                </c:pt>
                <c:pt idx="19">
                  <c:v>1.6828320533611094E-3</c:v>
                </c:pt>
                <c:pt idx="20">
                  <c:v>3.0545543405189396E-5</c:v>
                </c:pt>
                <c:pt idx="21">
                  <c:v>1.2462201044625627E-2</c:v>
                </c:pt>
                <c:pt idx="22">
                  <c:v>6.8482818957977965E-3</c:v>
                </c:pt>
                <c:pt idx="23">
                  <c:v>-2.2472583448196605E-3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D9-4864-ADF6-8FE94FEF7A1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64254672"/>
        <c:axId val="1464267152"/>
      </c:lineChart>
      <c:catAx>
        <c:axId val="146425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267152"/>
        <c:crosses val="autoZero"/>
        <c:auto val="1"/>
        <c:lblAlgn val="ctr"/>
        <c:lblOffset val="100"/>
        <c:noMultiLvlLbl val="0"/>
      </c:catAx>
      <c:valAx>
        <c:axId val="1464267152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254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[All_India_Index_Upto_April23.xlsx]Ans3!PivotTable8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June 2022</a:t>
            </a:r>
            <a:r>
              <a:rPr lang="en-US" baseline="0"/>
              <a:t> has highest and Feb 2023 has lowest inflation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'Ans3'!$E$19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'Ans3'!$D$20:$D$32</c:f>
              <c:strCache>
                <c:ptCount val="12"/>
                <c:pt idx="0">
                  <c:v>February2023</c:v>
                </c:pt>
                <c:pt idx="1">
                  <c:v>December2022</c:v>
                </c:pt>
                <c:pt idx="2">
                  <c:v>November2022</c:v>
                </c:pt>
                <c:pt idx="3">
                  <c:v>March2023</c:v>
                </c:pt>
                <c:pt idx="4">
                  <c:v>August2022</c:v>
                </c:pt>
                <c:pt idx="5">
                  <c:v>July2022</c:v>
                </c:pt>
                <c:pt idx="6">
                  <c:v>January2023</c:v>
                </c:pt>
                <c:pt idx="7">
                  <c:v>April2023</c:v>
                </c:pt>
                <c:pt idx="8">
                  <c:v>September2022</c:v>
                </c:pt>
                <c:pt idx="9">
                  <c:v>October2022</c:v>
                </c:pt>
                <c:pt idx="10">
                  <c:v>May2023</c:v>
                </c:pt>
                <c:pt idx="11">
                  <c:v>June2022</c:v>
                </c:pt>
              </c:strCache>
            </c:strRef>
          </c:cat>
          <c:val>
            <c:numRef>
              <c:f>'Ans3'!$E$20:$E$32</c:f>
              <c:numCache>
                <c:formatCode>0.00</c:formatCode>
                <c:ptCount val="12"/>
                <c:pt idx="0">
                  <c:v>-0.59318707201117182</c:v>
                </c:pt>
                <c:pt idx="1">
                  <c:v>-0.58342041100662179</c:v>
                </c:pt>
                <c:pt idx="2">
                  <c:v>-2.1764680276851682E-2</c:v>
                </c:pt>
                <c:pt idx="3">
                  <c:v>4.3876968978992913E-3</c:v>
                </c:pt>
                <c:pt idx="4">
                  <c:v>0.12796187618585006</c:v>
                </c:pt>
                <c:pt idx="5">
                  <c:v>0.19452672531943327</c:v>
                </c:pt>
                <c:pt idx="6">
                  <c:v>0.40728737847069707</c:v>
                </c:pt>
                <c:pt idx="7">
                  <c:v>0.456300456300479</c:v>
                </c:pt>
                <c:pt idx="8">
                  <c:v>0.51560021152829516</c:v>
                </c:pt>
                <c:pt idx="9">
                  <c:v>0.71901442413082706</c:v>
                </c:pt>
                <c:pt idx="10">
                  <c:v>0.75559049615652807</c:v>
                </c:pt>
                <c:pt idx="11">
                  <c:v>1.0408290896095831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BB-4DE8-9DFF-8D7B8FCFC8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185630431"/>
        <c:axId val="1185632831"/>
      </c:barChart>
      <c:catAx>
        <c:axId val="11856304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632831"/>
        <c:crosses val="autoZero"/>
        <c:auto val="1"/>
        <c:lblAlgn val="ctr"/>
        <c:lblOffset val="100"/>
        <c:noMultiLvlLbl val="0"/>
      </c:catAx>
      <c:valAx>
        <c:axId val="1185632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630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[All_India_Index_Upto_April23.xlsx]Ans3!PivotTable3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May 2023 has highest CPI and June 2022 has lowest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'Ans3'!$B$61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'Ans3'!$A$62:$A$76</c:f>
              <c:multiLvlStrCache>
                <c:ptCount val="12"/>
                <c:lvl>
                  <c:pt idx="0">
                    <c:v>June</c:v>
                  </c:pt>
                  <c:pt idx="1">
                    <c:v>July</c:v>
                  </c:pt>
                  <c:pt idx="2">
                    <c:v>August</c:v>
                  </c:pt>
                  <c:pt idx="3">
                    <c:v>September</c:v>
                  </c:pt>
                  <c:pt idx="4">
                    <c:v>October</c:v>
                  </c:pt>
                  <c:pt idx="5">
                    <c:v>November</c:v>
                  </c:pt>
                  <c:pt idx="6">
                    <c:v>December</c:v>
                  </c:pt>
                  <c:pt idx="7">
                    <c:v>January</c:v>
                  </c:pt>
                  <c:pt idx="8">
                    <c:v>February</c:v>
                  </c:pt>
                  <c:pt idx="9">
                    <c:v>March</c:v>
                  </c:pt>
                  <c:pt idx="10">
                    <c:v>April</c:v>
                  </c:pt>
                  <c:pt idx="11">
                    <c:v>May</c:v>
                  </c:pt>
                </c:lvl>
                <c:lvl>
                  <c:pt idx="0">
                    <c:v>2022</c:v>
                  </c:pt>
                  <c:pt idx="7">
                    <c:v>2023</c:v>
                  </c:pt>
                </c:lvl>
              </c:multiLvlStrCache>
            </c:multiLvlStrRef>
          </c:cat>
          <c:val>
            <c:numRef>
              <c:f>'Ans3'!$B$62:$B$76</c:f>
              <c:numCache>
                <c:formatCode>0.0</c:formatCode>
                <c:ptCount val="12"/>
                <c:pt idx="0">
                  <c:v>173.99230769230769</c:v>
                </c:pt>
                <c:pt idx="1">
                  <c:v>174.33076923076925</c:v>
                </c:pt>
                <c:pt idx="2">
                  <c:v>174.55384615384617</c:v>
                </c:pt>
                <c:pt idx="3">
                  <c:v>175.45384615384617</c:v>
                </c:pt>
                <c:pt idx="4">
                  <c:v>176.71538461538464</c:v>
                </c:pt>
                <c:pt idx="5">
                  <c:v>176.67692307692309</c:v>
                </c:pt>
                <c:pt idx="6">
                  <c:v>175.64615384615385</c:v>
                </c:pt>
                <c:pt idx="7">
                  <c:v>176.36153846153846</c:v>
                </c:pt>
                <c:pt idx="8">
                  <c:v>175.3153846153846</c:v>
                </c:pt>
                <c:pt idx="9">
                  <c:v>175.32307692307691</c:v>
                </c:pt>
                <c:pt idx="10">
                  <c:v>176.12307692307695</c:v>
                </c:pt>
                <c:pt idx="11">
                  <c:v>177.45384615384617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69-4A99-8DE8-78D2813F682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44980927"/>
        <c:axId val="444981407"/>
      </c:barChart>
      <c:catAx>
        <c:axId val="444980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981407"/>
        <c:crosses val="autoZero"/>
        <c:auto val="1"/>
        <c:lblAlgn val="ctr"/>
        <c:lblOffset val="100"/>
        <c:noMultiLvlLbl val="0"/>
      </c:catAx>
      <c:valAx>
        <c:axId val="44498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980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[All_India_Index_Upto_April23.xlsx]Ans2!PivotTable1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2019</a:t>
            </a:r>
            <a:r>
              <a:rPr lang="en-US" baseline="0"/>
              <a:t> has highest 7.74% and 2018 has lowest 2.34% YoY inflation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'Ans2'!$N$3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'Ans2'!$M$4:$M$10</c:f>
              <c:strCach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strCache>
            </c:strRef>
          </c:cat>
          <c:val>
            <c:numRef>
              <c:f>'Ans2'!$N$4:$N$10</c:f>
              <c:numCache>
                <c:formatCode>0.00%</c:formatCode>
                <c:ptCount val="6"/>
                <c:pt idx="0">
                  <c:v>5.295471987720627E-2</c:v>
                </c:pt>
                <c:pt idx="1">
                  <c:v>2.3374726077428697E-2</c:v>
                </c:pt>
                <c:pt idx="2">
                  <c:v>7.7363896848137617E-2</c:v>
                </c:pt>
                <c:pt idx="3">
                  <c:v>5.7922769640479481E-2</c:v>
                </c:pt>
                <c:pt idx="4">
                  <c:v>5.657978385251098E-2</c:v>
                </c:pt>
                <c:pt idx="5">
                  <c:v>6.0350030175015092E-2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68-4760-8461-3F2F37A2271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80000111"/>
        <c:axId val="2079997231"/>
      </c:lineChart>
      <c:catAx>
        <c:axId val="2080000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997231"/>
        <c:crosses val="autoZero"/>
        <c:auto val="1"/>
        <c:lblAlgn val="ctr"/>
        <c:lblOffset val="100"/>
        <c:noMultiLvlLbl val="0"/>
      </c:catAx>
      <c:valAx>
        <c:axId val="2079997231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00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[All_India_Index_Upto_April23.xlsx]Ans1!PivotTable3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Food</a:t>
            </a:r>
            <a:r>
              <a:rPr lang="en-US" baseline="0"/>
              <a:t> and Beverages has highest 49.56% contribution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'Ans1'!$O$2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'Ans1'!$N$3:$N$13</c:f>
              <c:strCache>
                <c:ptCount val="10"/>
                <c:pt idx="0">
                  <c:v>Food and Beverages</c:v>
                </c:pt>
                <c:pt idx="1">
                  <c:v>Clothing and Footwear</c:v>
                </c:pt>
                <c:pt idx="2">
                  <c:v>Recreation and Personal Care</c:v>
                </c:pt>
                <c:pt idx="3">
                  <c:v>Housing and Utilities</c:v>
                </c:pt>
                <c:pt idx="4">
                  <c:v>Pan, tobacco and intoxicants</c:v>
                </c:pt>
                <c:pt idx="5">
                  <c:v>Health</c:v>
                </c:pt>
                <c:pt idx="6">
                  <c:v>Energy</c:v>
                </c:pt>
                <c:pt idx="7">
                  <c:v>Education</c:v>
                </c:pt>
                <c:pt idx="8">
                  <c:v>Miscellaneous</c:v>
                </c:pt>
                <c:pt idx="9">
                  <c:v>Transportation</c:v>
                </c:pt>
              </c:strCache>
            </c:strRef>
          </c:cat>
          <c:val>
            <c:numRef>
              <c:f>'Ans1'!$O$3:$O$13</c:f>
              <c:numCache>
                <c:formatCode>0.00%</c:formatCode>
                <c:ptCount val="10"/>
                <c:pt idx="0">
                  <c:v>0.49563853557923693</c:v>
                </c:pt>
                <c:pt idx="1">
                  <c:v>0.11885527672739775</c:v>
                </c:pt>
                <c:pt idx="2">
                  <c:v>7.6572705397043653E-2</c:v>
                </c:pt>
                <c:pt idx="3">
                  <c:v>7.5369542798212438E-2</c:v>
                </c:pt>
                <c:pt idx="4">
                  <c:v>4.3184943279477486E-2</c:v>
                </c:pt>
                <c:pt idx="5">
                  <c:v>3.9897731179099345E-2</c:v>
                </c:pt>
                <c:pt idx="6">
                  <c:v>3.9274664833276046E-2</c:v>
                </c:pt>
                <c:pt idx="7">
                  <c:v>3.8050017188037126E-2</c:v>
                </c:pt>
                <c:pt idx="8">
                  <c:v>3.7749226538329322E-2</c:v>
                </c:pt>
                <c:pt idx="9">
                  <c:v>3.5407356479890004E-2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DB-486E-B196-E4E00E6F976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791717136"/>
        <c:axId val="879805136"/>
      </c:barChart>
      <c:catAx>
        <c:axId val="791717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805136"/>
        <c:crosses val="autoZero"/>
        <c:auto val="1"/>
        <c:lblAlgn val="ctr"/>
        <c:lblOffset val="100"/>
        <c:noMultiLvlLbl val="0"/>
      </c:catAx>
      <c:valAx>
        <c:axId val="879805136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717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121920</xdr:colOff>
      <xdr:row>0</xdr:row>
      <xdr:rowOff>83820</xdr:rowOff>
    </xdr:from>
    <xdr:to>
      <xdr:col>23</xdr:col>
      <xdr:colOff>30480</xdr:colOff>
      <xdr:row>30</xdr:row>
      <xdr:rowOff>22860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0CB2F52-9A81-DD68-27BA-95917DCA0D72}"/>
            </a:ext>
          </a:extLst>
        </xdr:cNvPr>
        <xdr:cNvSpPr/>
      </xdr:nvSpPr>
      <xdr:spPr>
        <a:xfrm>
          <a:off x="121920" y="83820"/>
          <a:ext cx="13929360" cy="5425440"/>
        </a:xfrm>
        <a:prstGeom prst="roundRect">
          <a:avLst>
            <a:gd name="adj" fmla="val 41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152400</xdr:colOff>
      <xdr:row>15</xdr:row>
      <xdr:rowOff>60960</xdr:rowOff>
    </xdr:from>
    <xdr:to>
      <xdr:col>11</xdr:col>
      <xdr:colOff>396240</xdr:colOff>
      <xdr:row>30</xdr:row>
      <xdr:rowOff>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F2348F9F-C154-08AD-9687-9A16A1FE67EE}"/>
            </a:ext>
          </a:extLst>
        </xdr:cNvPr>
        <xdr:cNvSpPr/>
      </xdr:nvSpPr>
      <xdr:spPr>
        <a:xfrm>
          <a:off x="152400" y="2804160"/>
          <a:ext cx="6949440" cy="2682240"/>
        </a:xfrm>
        <a:prstGeom prst="roundRect">
          <a:avLst>
            <a:gd name="adj" fmla="val 7576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426720</xdr:colOff>
      <xdr:row>15</xdr:row>
      <xdr:rowOff>68580</xdr:rowOff>
    </xdr:from>
    <xdr:to>
      <xdr:col>23</xdr:col>
      <xdr:colOff>7620</xdr:colOff>
      <xdr:row>30</xdr:row>
      <xdr:rowOff>7620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B13C6F6E-ADA4-4326-AE8D-AA112C066E9B}"/>
            </a:ext>
          </a:extLst>
        </xdr:cNvPr>
        <xdr:cNvSpPr/>
      </xdr:nvSpPr>
      <xdr:spPr>
        <a:xfrm>
          <a:off x="7132320" y="2811780"/>
          <a:ext cx="6896100" cy="2682240"/>
        </a:xfrm>
        <a:prstGeom prst="roundRect">
          <a:avLst>
            <a:gd name="adj" fmla="val 7576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167640</xdr:colOff>
      <xdr:row>2</xdr:row>
      <xdr:rowOff>129540</xdr:rowOff>
    </xdr:from>
    <xdr:to>
      <xdr:col>4</xdr:col>
      <xdr:colOff>518160</xdr:colOff>
      <xdr:row>15</xdr:row>
      <xdr:rowOff>7620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86F7EAB4-EEFB-B2A1-1893-54D6D1FF4784}"/>
            </a:ext>
          </a:extLst>
        </xdr:cNvPr>
        <xdr:cNvSpPr/>
      </xdr:nvSpPr>
      <xdr:spPr>
        <a:xfrm>
          <a:off x="167640" y="495300"/>
          <a:ext cx="2788920" cy="2255520"/>
        </a:xfrm>
        <a:prstGeom prst="roundRect">
          <a:avLst>
            <a:gd name="adj" fmla="val 687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68580</xdr:colOff>
      <xdr:row>2</xdr:row>
      <xdr:rowOff>129540</xdr:rowOff>
    </xdr:from>
    <xdr:to>
      <xdr:col>17</xdr:col>
      <xdr:colOff>53340</xdr:colOff>
      <xdr:row>15</xdr:row>
      <xdr:rowOff>22860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B59B9D71-2DAD-48A7-BB27-F4A60E8367D6}"/>
            </a:ext>
          </a:extLst>
        </xdr:cNvPr>
        <xdr:cNvSpPr/>
      </xdr:nvSpPr>
      <xdr:spPr>
        <a:xfrm>
          <a:off x="6774180" y="495300"/>
          <a:ext cx="3642360" cy="2270760"/>
        </a:xfrm>
        <a:prstGeom prst="roundRect">
          <a:avLst>
            <a:gd name="adj" fmla="val 5593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99060</xdr:colOff>
      <xdr:row>2</xdr:row>
      <xdr:rowOff>152400</xdr:rowOff>
    </xdr:from>
    <xdr:to>
      <xdr:col>23</xdr:col>
      <xdr:colOff>0</xdr:colOff>
      <xdr:row>15</xdr:row>
      <xdr:rowOff>38100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D78EBC5F-F083-4035-A4D8-E2BE9D1D1F24}"/>
            </a:ext>
          </a:extLst>
        </xdr:cNvPr>
        <xdr:cNvSpPr/>
      </xdr:nvSpPr>
      <xdr:spPr>
        <a:xfrm>
          <a:off x="10462260" y="518160"/>
          <a:ext cx="3558540" cy="2263140"/>
        </a:xfrm>
        <a:prstGeom prst="roundRect">
          <a:avLst>
            <a:gd name="adj" fmla="val 7576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160020</xdr:colOff>
      <xdr:row>0</xdr:row>
      <xdr:rowOff>121920</xdr:rowOff>
    </xdr:from>
    <xdr:to>
      <xdr:col>22</xdr:col>
      <xdr:colOff>563880</xdr:colOff>
      <xdr:row>2</xdr:row>
      <xdr:rowOff>99060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DC8DB5FF-82AF-B1FE-49D4-0800D6289A50}"/>
            </a:ext>
          </a:extLst>
        </xdr:cNvPr>
        <xdr:cNvSpPr/>
      </xdr:nvSpPr>
      <xdr:spPr>
        <a:xfrm>
          <a:off x="160020" y="121920"/>
          <a:ext cx="13815060" cy="342900"/>
        </a:xfrm>
        <a:prstGeom prst="roundRect">
          <a:avLst>
            <a:gd name="adj" fmla="val 5000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563880</xdr:colOff>
      <xdr:row>2</xdr:row>
      <xdr:rowOff>129540</xdr:rowOff>
    </xdr:from>
    <xdr:to>
      <xdr:col>11</xdr:col>
      <xdr:colOff>15240</xdr:colOff>
      <xdr:row>15</xdr:row>
      <xdr:rowOff>30480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0DDC9009-2764-40D4-4BED-132EE749603E}"/>
            </a:ext>
          </a:extLst>
        </xdr:cNvPr>
        <xdr:cNvSpPr/>
      </xdr:nvSpPr>
      <xdr:spPr>
        <a:xfrm>
          <a:off x="3002280" y="495300"/>
          <a:ext cx="3718560" cy="227838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0</xdr:col>
      <xdr:colOff>182881</xdr:colOff>
      <xdr:row>0</xdr:row>
      <xdr:rowOff>114300</xdr:rowOff>
    </xdr:from>
    <xdr:ext cx="13754100" cy="381000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71D6A685-C0B1-BD17-F9D7-57132C45C12A}"/>
            </a:ext>
          </a:extLst>
        </xdr:cNvPr>
        <xdr:cNvSpPr/>
      </xdr:nvSpPr>
      <xdr:spPr>
        <a:xfrm>
          <a:off x="182881" y="114300"/>
          <a:ext cx="13754100" cy="38100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0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CPI</a:t>
          </a:r>
          <a:r>
            <a:rPr lang="en-US" sz="2000" b="0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INFLATION ANALYSIS</a:t>
          </a:r>
          <a:endParaRPr lang="en-US" sz="2000" b="0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twoCellAnchor>
    <xdr:from>
      <xdr:col>0</xdr:col>
      <xdr:colOff>213360</xdr:colOff>
      <xdr:row>3</xdr:row>
      <xdr:rowOff>7620</xdr:rowOff>
    </xdr:from>
    <xdr:to>
      <xdr:col>4</xdr:col>
      <xdr:colOff>464820</xdr:colOff>
      <xdr:row>14</xdr:row>
      <xdr:rowOff>129540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39F6B8F-DE8D-4923-93D6-B94394E582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480060</xdr:colOff>
      <xdr:row>15</xdr:row>
      <xdr:rowOff>114300</xdr:rowOff>
    </xdr:from>
    <xdr:to>
      <xdr:col>22</xdr:col>
      <xdr:colOff>579120</xdr:colOff>
      <xdr:row>30</xdr:row>
      <xdr:rowOff>7620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16F44EF-CA0F-48F8-B8BD-16C281BA14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83820</xdr:colOff>
      <xdr:row>2</xdr:row>
      <xdr:rowOff>167640</xdr:rowOff>
    </xdr:from>
    <xdr:to>
      <xdr:col>23</xdr:col>
      <xdr:colOff>68580</xdr:colOff>
      <xdr:row>15</xdr:row>
      <xdr:rowOff>30480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E418821-E216-4BCE-BB5A-3DF75BD289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60960</xdr:colOff>
      <xdr:row>2</xdr:row>
      <xdr:rowOff>160020</xdr:rowOff>
    </xdr:from>
    <xdr:to>
      <xdr:col>17</xdr:col>
      <xdr:colOff>68580</xdr:colOff>
      <xdr:row>15</xdr:row>
      <xdr:rowOff>22860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ED7626A-27DC-4DF7-BFE0-D94F896156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152400</xdr:colOff>
      <xdr:row>15</xdr:row>
      <xdr:rowOff>91440</xdr:rowOff>
    </xdr:from>
    <xdr:to>
      <xdr:col>11</xdr:col>
      <xdr:colOff>365760</xdr:colOff>
      <xdr:row>30</xdr:row>
      <xdr:rowOff>30480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031554E-F592-46C9-B53C-986D82C484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563880</xdr:colOff>
      <xdr:row>2</xdr:row>
      <xdr:rowOff>175260</xdr:rowOff>
    </xdr:from>
    <xdr:to>
      <xdr:col>10</xdr:col>
      <xdr:colOff>533400</xdr:colOff>
      <xdr:row>15</xdr:row>
      <xdr:rowOff>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29944673-A242-47C7-AE4D-80A5325CD4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49</xdr:row>
      <xdr:rowOff>179070</xdr:rowOff>
    </xdr:from>
    <xdr:to>
      <xdr:col>16</xdr:col>
      <xdr:colOff>7620</xdr:colOff>
      <xdr:row>75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90125E-7127-A7D1-6CA0-BB8D4DCC20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365760</xdr:colOff>
      <xdr:row>57</xdr:row>
      <xdr:rowOff>3810</xdr:rowOff>
    </xdr:from>
    <xdr:to>
      <xdr:col>20</xdr:col>
      <xdr:colOff>388620</xdr:colOff>
      <xdr:row>81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DF3994-566A-86C7-BDBB-15942134D8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289560</xdr:colOff>
      <xdr:row>113</xdr:row>
      <xdr:rowOff>34290</xdr:rowOff>
    </xdr:from>
    <xdr:to>
      <xdr:col>19</xdr:col>
      <xdr:colOff>487680</xdr:colOff>
      <xdr:row>130</xdr:row>
      <xdr:rowOff>167640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4DEC227-AC2B-F6D9-F54B-670BCF045E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205740</xdr:colOff>
      <xdr:row>146</xdr:row>
      <xdr:rowOff>175260</xdr:rowOff>
    </xdr:from>
    <xdr:to>
      <xdr:col>19</xdr:col>
      <xdr:colOff>335280</xdr:colOff>
      <xdr:row>165</xdr:row>
      <xdr:rowOff>30480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F4F0442-5329-8504-6B35-860CB24A6E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403860</xdr:colOff>
      <xdr:row>17</xdr:row>
      <xdr:rowOff>156210</xdr:rowOff>
    </xdr:from>
    <xdr:to>
      <xdr:col>10</xdr:col>
      <xdr:colOff>883920</xdr:colOff>
      <xdr:row>32</xdr:row>
      <xdr:rowOff>156210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C114AE-ADAB-E2E5-419F-0433632BC5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609600</xdr:colOff>
      <xdr:row>59</xdr:row>
      <xdr:rowOff>140970</xdr:rowOff>
    </xdr:from>
    <xdr:to>
      <xdr:col>6</xdr:col>
      <xdr:colOff>411480</xdr:colOff>
      <xdr:row>74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CCE124-EF8C-8F32-B277-8570AFDC2D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106680</xdr:colOff>
      <xdr:row>10</xdr:row>
      <xdr:rowOff>140970</xdr:rowOff>
    </xdr:from>
    <xdr:to>
      <xdr:col>17</xdr:col>
      <xdr:colOff>251460</xdr:colOff>
      <xdr:row>25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E8FF76-86C8-D1A7-57FE-D620F5CA4E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60960</xdr:colOff>
      <xdr:row>18</xdr:row>
      <xdr:rowOff>118110</xdr:rowOff>
    </xdr:from>
    <xdr:to>
      <xdr:col>13</xdr:col>
      <xdr:colOff>1394460</xdr:colOff>
      <xdr:row>33</xdr:row>
      <xdr:rowOff>118110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24B9044-6753-4B22-D6B4-1950F61CB2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NALI UTEKAR" refreshedDate="46019.810203472225" createdVersion="8" refreshedVersion="8" minRefreshableVersion="3" recordCount="26" xr:uid="{DD84C720-01AB-447A-B26A-C40B885C489A}">
  <cacheSource type="worksheet">
    <worksheetSource ref="A1:E27" sheet="Ans1"/>
  </cacheSource>
  <cacheFields count="5">
    <cacheField name="Sector" numFmtId="0">
      <sharedItems/>
    </cacheField>
    <cacheField name="Rural" numFmtId="0">
      <sharedItems containsMixedTypes="1" containsNumber="1" minValue="121.9" maxValue="221"/>
    </cacheField>
    <cacheField name="Urban" numFmtId="0">
      <sharedItems containsSemiMixedTypes="0" containsString="0" containsNumber="1" minValue="124.2" maxValue="219.4"/>
    </cacheField>
    <cacheField name="Rural+Urban" numFmtId="0">
      <sharedItems containsSemiMixedTypes="0" containsString="0" containsNumber="1" minValue="122.7" maxValue="218"/>
    </cacheField>
    <cacheField name="Category" numFmtId="0">
      <sharedItems count="10">
        <s v="Food and Beverages"/>
        <s v="Pan, tobacco and intoxicants"/>
        <s v="Clothing and Footwear"/>
        <s v="Housing and Utilities"/>
        <s v="Energy"/>
        <s v="Health"/>
        <s v="Transportation"/>
        <s v="Recreation and Personal Care"/>
        <s v="Education"/>
        <s v="Miscellaneou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NALI UTEKAR" refreshedDate="46019.907124999998" createdVersion="8" refreshedVersion="8" minRefreshableVersion="3" recordCount="12" xr:uid="{B9A45DD2-279E-4558-8273-1A0E8EC87E8D}">
  <cacheSource type="worksheet">
    <worksheetSource ref="A1:F13" sheet="Ans3"/>
  </cacheSource>
  <cacheFields count="6">
    <cacheField name="Sector" numFmtId="0">
      <sharedItems/>
    </cacheField>
    <cacheField name="Year" numFmtId="0">
      <sharedItems containsSemiMixedTypes="0" containsString="0" containsNumber="1" containsInteger="1" minValue="2022" maxValue="2023"/>
    </cacheField>
    <cacheField name="Month" numFmtId="0">
      <sharedItems/>
    </cacheField>
    <cacheField name="Broader Food and Beverages" numFmtId="164">
      <sharedItems containsSemiMixedTypes="0" containsString="0" containsNumber="1" minValue="173.99230769230769" maxValue="177.45384615384617"/>
    </cacheField>
    <cacheField name="Monthly Inflation Rate" numFmtId="2">
      <sharedItems containsSemiMixedTypes="0" containsString="0" containsNumber="1" minValue="-0.59318707201117182" maxValue="1.0408290896095831"/>
    </cacheField>
    <cacheField name="Month Yearwise" numFmtId="0">
      <sharedItems count="12">
        <s v="June2022"/>
        <s v="July2022"/>
        <s v="August2022"/>
        <s v="September2022"/>
        <s v="October2022"/>
        <s v="November2022"/>
        <s v="December2022"/>
        <s v="January2023"/>
        <s v="February2023"/>
        <s v="March2023"/>
        <s v="April2023"/>
        <s v="May202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NALI UTEKAR" refreshedDate="46019.926874652781" createdVersion="8" refreshedVersion="8" minRefreshableVersion="3" recordCount="12" xr:uid="{33C5544B-1C58-4E54-B960-CD9EE273719D}">
  <cacheSource type="worksheet">
    <worksheetSource ref="A1:G13" sheet="Ans3"/>
  </cacheSource>
  <cacheFields count="7">
    <cacheField name="Sector" numFmtId="0">
      <sharedItems/>
    </cacheField>
    <cacheField name="Year" numFmtId="0">
      <sharedItems containsSemiMixedTypes="0" containsString="0" containsNumber="1" containsInteger="1" minValue="2022" maxValue="2023"/>
    </cacheField>
    <cacheField name="Month" numFmtId="0">
      <sharedItems/>
    </cacheField>
    <cacheField name="Broader Food and Beverages" numFmtId="164">
      <sharedItems containsSemiMixedTypes="0" containsString="0" containsNumber="1" minValue="173.99230769230769" maxValue="177.45384615384617"/>
    </cacheField>
    <cacheField name="Monthly Inflation Rate" numFmtId="2">
      <sharedItems containsSemiMixedTypes="0" containsString="0" containsNumber="1" minValue="-0.59318707201117182" maxValue="1.0408290896095831"/>
    </cacheField>
    <cacheField name="Month Yearwise" numFmtId="0">
      <sharedItems count="12">
        <s v="June2022"/>
        <s v="July2022"/>
        <s v="August2022"/>
        <s v="September2022"/>
        <s v="October2022"/>
        <s v="November2022"/>
        <s v="December2022"/>
        <s v="January2023"/>
        <s v="February2023"/>
        <s v="March2023"/>
        <s v="April2023"/>
        <s v="May2023"/>
      </sharedItems>
    </cacheField>
    <cacheField name="Absolute change in inflation" numFmtId="2">
      <sharedItems containsSemiMixedTypes="0" containsString="0" containsNumber="1" minValue="4.3876968978992913E-3" maxValue="1.04082908960958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NALI UTEKAR" refreshedDate="46029.898299884262" createdVersion="8" refreshedVersion="8" minRefreshableVersion="3" recordCount="6" xr:uid="{6B1BC6A4-BA48-4761-92E5-3A22D8A6DB80}">
  <cacheSource type="worksheet">
    <worksheetSource ref="H1:I7" sheet="Ans2"/>
  </cacheSource>
  <cacheFields count="2">
    <cacheField name="YEARS" numFmtId="0">
      <sharedItems containsSemiMixedTypes="0" containsString="0" containsNumber="1" containsInteger="1" minValue="2017" maxValue="2022" count="6">
        <n v="2017"/>
        <n v="2018"/>
        <n v="2019"/>
        <n v="2020"/>
        <n v="2021"/>
        <n v="2022"/>
      </sharedItems>
    </cacheField>
    <cacheField name="ANNUAL INFLATION" numFmtId="10">
      <sharedItems containsSemiMixedTypes="0" containsString="0" containsNumber="1" minValue="2.3374726077428697E-2" maxValue="7.7363896848137617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NALI UTEKAR" refreshedDate="46029.937368981482" createdVersion="8" refreshedVersion="8" minRefreshableVersion="3" recordCount="12" xr:uid="{20C5A6DB-2846-4BA2-8F3F-DF1A47E4E4CC}">
  <cacheSource type="worksheet">
    <worksheetSource ref="A1:T13" sheet="Ans3"/>
  </cacheSource>
  <cacheFields count="20">
    <cacheField name="Sector" numFmtId="0">
      <sharedItems/>
    </cacheField>
    <cacheField name="Year" numFmtId="0">
      <sharedItems containsSemiMixedTypes="0" containsString="0" containsNumber="1" containsInteger="1" minValue="2022" maxValue="2023" count="2">
        <n v="2022"/>
        <n v="2023"/>
      </sharedItems>
    </cacheField>
    <cacheField name="Month" numFmtId="0">
      <sharedItems count="12">
        <s v="June"/>
        <s v="July"/>
        <s v="August"/>
        <s v="September"/>
        <s v="October"/>
        <s v="November"/>
        <s v="December"/>
        <s v="January"/>
        <s v="February"/>
        <s v="March"/>
        <s v="April"/>
        <s v="May"/>
      </sharedItems>
    </cacheField>
    <cacheField name="Broader Food and Beverages" numFmtId="164">
      <sharedItems containsSemiMixedTypes="0" containsString="0" containsNumber="1" minValue="173.99230769230769" maxValue="177.45384615384617"/>
    </cacheField>
    <cacheField name="Monthly Inflation Rate" numFmtId="2">
      <sharedItems containsSemiMixedTypes="0" containsString="0" containsNumber="1" minValue="-0.59318707201117182" maxValue="0.75559049615652807"/>
    </cacheField>
    <cacheField name="Month Yearwise" numFmtId="0">
      <sharedItems/>
    </cacheField>
    <cacheField name="Absolute change in inflation" numFmtId="2">
      <sharedItems containsSemiMixedTypes="0" containsString="0" containsNumber="1" minValue="4.3876968978992913E-3" maxValue="0.75559049615652807"/>
    </cacheField>
    <cacheField name="Cereals and products" numFmtId="0">
      <sharedItems containsSemiMixedTypes="0" containsString="0" containsNumber="1" minValue="155" maxValue="174.4"/>
    </cacheField>
    <cacheField name="Meat and fish" numFmtId="0">
      <sharedItems containsSemiMixedTypes="0" containsString="0" containsNumber="1" minValue="206.5" maxValue="219.4"/>
    </cacheField>
    <cacheField name="Egg" numFmtId="0">
      <sharedItems containsSemiMixedTypes="0" containsString="0" containsNumber="1" minValue="169.2" maxValue="194.5"/>
    </cacheField>
    <cacheField name="Milk and products" numFmtId="0">
      <sharedItems containsSemiMixedTypes="0" containsString="0" containsNumber="1" minValue="165.8" maxValue="179.5"/>
    </cacheField>
    <cacheField name="Oils and fats" numFmtId="0">
      <sharedItems containsSemiMixedTypes="0" containsString="0" containsNumber="1" minValue="170" maxValue="200.9"/>
    </cacheField>
    <cacheField name="Fruits" numFmtId="0">
      <sharedItems containsSemiMixedTypes="0" containsString="0" containsNumber="1" minValue="158" maxValue="176.3"/>
    </cacheField>
    <cacheField name="Vegetables" numFmtId="0">
      <sharedItems containsSemiMixedTypes="0" containsString="0" containsNumber="1" minValue="152.69999999999999" maxValue="199.7"/>
    </cacheField>
    <cacheField name="Pulses and products" numFmtId="0">
      <sharedItems containsSemiMixedTypes="0" containsString="0" containsNumber="1" minValue="164.3" maxValue="175.6"/>
    </cacheField>
    <cacheField name="Sugar and Confectionery" numFmtId="0">
      <sharedItems containsSemiMixedTypes="0" containsString="0" containsNumber="1" minValue="119.9" maxValue="122.7"/>
    </cacheField>
    <cacheField name="Spices" numFmtId="0">
      <sharedItems containsSemiMixedTypes="0" containsString="0" containsNumber="1" minValue="187.1" maxValue="218"/>
    </cacheField>
    <cacheField name="Non-alcoholic beverages" numFmtId="0">
      <sharedItems containsSemiMixedTypes="0" containsString="0" containsNumber="1" minValue="167.9" maxValue="173.4"/>
    </cacheField>
    <cacheField name="Prepared meals, snacks, sweets etc." numFmtId="0">
      <sharedItems containsSemiMixedTypes="0" containsString="0" containsNumber="1" minValue="183.9" maxValue="194.2"/>
    </cacheField>
    <cacheField name="Food and beverages" numFmtId="0">
      <sharedItems containsSemiMixedTypes="0" containsString="0" containsNumber="1" minValue="174.9" maxValue="179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NALI UTEKAR" refreshedDate="46050.587241782407" createdVersion="8" refreshedVersion="8" minRefreshableVersion="3" recordCount="47" xr:uid="{53DAE687-F39A-45CE-BBFC-268730796320}">
  <cacheSource type="worksheet">
    <worksheetSource ref="A1:Y48" sheet="Ans4"/>
  </cacheSource>
  <cacheFields count="25">
    <cacheField name="Sector" numFmtId="0">
      <sharedItems/>
    </cacheField>
    <cacheField name="Year" numFmtId="0">
      <sharedItems containsSemiMixedTypes="0" containsString="0" containsNumber="1" containsInteger="1" minValue="2018" maxValue="2021" count="4">
        <n v="2018"/>
        <n v="2019"/>
        <n v="2020"/>
        <n v="2021"/>
      </sharedItems>
    </cacheField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Cereals and products" numFmtId="0">
      <sharedItems containsSemiMixedTypes="0" containsString="0" containsNumber="1" minValue="135.9" maxValue="149.6"/>
    </cacheField>
    <cacheField name="Meat and fish" numFmtId="0">
      <sharedItems containsSemiMixedTypes="0" containsString="0" containsNumber="1" minValue="143.5" maxValue="206.8"/>
    </cacheField>
    <cacheField name="Egg" numFmtId="0">
      <sharedItems containsSemiMixedTypes="0" containsString="0" containsNumber="1" minValue="133.6" maxValue="182.2"/>
    </cacheField>
    <cacheField name="Milk and products" numFmtId="0">
      <sharedItems containsSemiMixedTypes="0" containsString="0" containsNumber="1" minValue="140.9" maxValue="159.9"/>
    </cacheField>
    <cacheField name="Oils and fats" numFmtId="0">
      <sharedItems containsSemiMixedTypes="0" containsString="0" containsNumber="1" minValue="120.4" maxValue="190.6"/>
    </cacheField>
    <cacheField name="Fruits" numFmtId="0">
      <sharedItems containsSemiMixedTypes="0" containsString="0" containsNumber="1" minValue="135.4" maxValue="167.1"/>
    </cacheField>
    <cacheField name="Vegetables" numFmtId="0">
      <sharedItems containsSemiMixedTypes="0" containsString="0" containsNumber="1" minValue="129.69999999999999" maxValue="230.5"/>
    </cacheField>
    <cacheField name="Pulses and products" numFmtId="0">
      <sharedItems containsSemiMixedTypes="0" containsString="0" containsNumber="1" minValue="119.1" maxValue="166"/>
    </cacheField>
    <cacheField name="Sugar and Confectionery" numFmtId="0">
      <sharedItems containsSemiMixedTypes="0" containsString="0" containsNumber="1" minValue="109" maxValue="122.4"/>
    </cacheField>
    <cacheField name="Spices" numFmtId="0">
      <sharedItems containsSemiMixedTypes="0" containsString="0" containsNumber="1" minValue="137.30000000000001" maxValue="170.5"/>
    </cacheField>
    <cacheField name="Non-alcoholic beverages" numFmtId="0">
      <sharedItems containsSemiMixedTypes="0" containsString="0" containsNumber="1" minValue="128.6" maxValue="164.2"/>
    </cacheField>
    <cacheField name="Prepared meals, snacks, sweets etc." numFmtId="0">
      <sharedItems containsSemiMixedTypes="0" containsString="0" containsNumber="1" minValue="149.5" maxValue="176.5"/>
    </cacheField>
    <cacheField name="Food and beverages" numFmtId="0">
      <sharedItems containsSemiMixedTypes="0" containsString="0" containsNumber="1" minValue="137.19999999999999" maxValue="169.7"/>
    </cacheField>
    <cacheField name="Clothing" numFmtId="0">
      <sharedItems containsSemiMixedTypes="0" containsString="0" containsNumber="1" minValue="143.5" maxValue="168.5"/>
    </cacheField>
    <cacheField name="Footwear" numFmtId="0">
      <sharedItems containsSemiMixedTypes="0" containsString="0" containsNumber="1" minValue="135.5" maxValue="158.69999999999999"/>
    </cacheField>
    <cacheField name="Clothing and footwear" numFmtId="0">
      <sharedItems containsSemiMixedTypes="0" containsString="0" containsNumber="1" minValue="142.30000000000001" maxValue="167"/>
    </cacheField>
    <cacheField name="Fuel and light" numFmtId="0">
      <sharedItems containsSemiMixedTypes="0" containsString="0" containsNumber="1" minValue="136.5" maxValue="164.2"/>
    </cacheField>
    <cacheField name="Health" numFmtId="0">
      <sharedItems containsSemiMixedTypes="0" containsString="0" containsNumber="1" minValue="133.30000000000001" maxValue="170.6"/>
    </cacheField>
    <cacheField name="Transport and communication" numFmtId="0">
      <sharedItems containsSemiMixedTypes="0" containsString="0" containsNumber="1" minValue="119.3" maxValue="155.69999999999999"/>
    </cacheField>
    <cacheField name="Education" numFmtId="0">
      <sharedItems containsSemiMixedTypes="0" containsString="0" containsNumber="1" minValue="139" maxValue="164.4"/>
    </cacheField>
    <cacheField name="Average" numFmtId="164">
      <sharedItems containsSemiMixedTypes="0" containsString="0" containsNumber="1" minValue="135.56" maxValue="166.87000000000003"/>
    </cacheField>
    <cacheField name="Change in Inflation" numFmtId="10">
      <sharedItems containsSemiMixedTypes="0" containsString="0" containsNumber="1" minValue="-8.5683443529886803E-3" maxValue="1.9597272871412916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NALI UTEKAR" refreshedDate="46051.450949999999" createdVersion="8" refreshedVersion="8" minRefreshableVersion="3" recordCount="25" xr:uid="{04E78A77-9AB4-42E6-AFA3-51F628CAA0AC}">
  <cacheSource type="worksheet">
    <worksheetSource ref="A1:Y26" sheet="Ans4"/>
  </cacheSource>
  <cacheFields count="25">
    <cacheField name="Sector" numFmtId="0">
      <sharedItems/>
    </cacheField>
    <cacheField name="Year" numFmtId="0">
      <sharedItems containsSemiMixedTypes="0" containsString="0" containsNumber="1" containsInteger="1" minValue="2018" maxValue="2020" count="3">
        <n v="2018"/>
        <n v="2019"/>
        <n v="2020"/>
      </sharedItems>
    </cacheField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Cereals and products" numFmtId="0">
      <sharedItems containsSemiMixedTypes="0" containsString="0" containsNumber="1" minValue="135.9" maxValue="144.80000000000001"/>
    </cacheField>
    <cacheField name="Meat and fish" numFmtId="0">
      <sharedItems containsSemiMixedTypes="0" containsString="0" containsNumber="1" minValue="143.5" maxValue="167.5"/>
    </cacheField>
    <cacheField name="Egg" numFmtId="0">
      <sharedItems containsSemiMixedTypes="0" containsString="0" containsNumber="1" minValue="133.6" maxValue="154.9"/>
    </cacheField>
    <cacheField name="Milk and products" numFmtId="0">
      <sharedItems containsSemiMixedTypes="0" containsString="0" containsNumber="1" minValue="140.9" maxValue="150.80000000000001"/>
    </cacheField>
    <cacheField name="Oils and fats" numFmtId="0">
      <sharedItems containsSemiMixedTypes="0" containsString="0" containsNumber="1" minValue="120.4" maxValue="131.4"/>
    </cacheField>
    <cacheField name="Fruits" numFmtId="0">
      <sharedItems containsSemiMixedTypes="0" containsString="0" containsNumber="1" minValue="135.4" maxValue="154.6"/>
    </cacheField>
    <cacheField name="Vegetables" numFmtId="0">
      <sharedItems containsSemiMixedTypes="0" containsString="0" containsNumber="1" minValue="129.69999999999999" maxValue="217"/>
    </cacheField>
    <cacheField name="Pulses and products" numFmtId="0">
      <sharedItems containsSemiMixedTypes="0" containsString="0" containsNumber="1" minValue="119.1" maxValue="141.1"/>
    </cacheField>
    <cacheField name="Sugar and Confectionery" numFmtId="0">
      <sharedItems containsSemiMixedTypes="0" containsString="0" containsNumber="1" minValue="109" maxValue="118.8"/>
    </cacheField>
    <cacheField name="Spices" numFmtId="0">
      <sharedItems containsSemiMixedTypes="0" containsString="0" containsNumber="1" minValue="137.30000000000001" maxValue="152"/>
    </cacheField>
    <cacheField name="Non-alcoholic beverages" numFmtId="0">
      <sharedItems containsSemiMixedTypes="0" containsString="0" containsNumber="1" minValue="128.6" maxValue="136.5"/>
    </cacheField>
    <cacheField name="Prepared meals, snacks, sweets etc." numFmtId="0">
      <sharedItems containsSemiMixedTypes="0" containsString="0" containsNumber="1" minValue="149.5" maxValue="159.1"/>
    </cacheField>
    <cacheField name="Food and beverages" numFmtId="0">
      <sharedItems containsSemiMixedTypes="0" containsString="0" containsNumber="1" minValue="137.19999999999999" maxValue="155"/>
    </cacheField>
    <cacheField name="Clothing" numFmtId="0">
      <sharedItems containsSemiMixedTypes="0" containsString="0" containsNumber="1" minValue="143.5" maxValue="150.80000000000001"/>
    </cacheField>
    <cacheField name="Footwear" numFmtId="0">
      <sharedItems containsSemiMixedTypes="0" containsString="0" containsNumber="1" minValue="135.5" maxValue="141.69999999999999"/>
    </cacheField>
    <cacheField name="Clothing and footwear" numFmtId="0">
      <sharedItems containsSemiMixedTypes="0" containsString="0" containsNumber="1" minValue="142.30000000000001" maxValue="149.5"/>
    </cacheField>
    <cacheField name="Fuel and light" numFmtId="0">
      <sharedItems containsSemiMixedTypes="0" containsString="0" containsNumber="1" minValue="136.5" maxValue="147.19999999999999"/>
    </cacheField>
    <cacheField name="Health" numFmtId="0">
      <sharedItems containsSemiMixedTypes="0" containsString="0" containsNumber="1" minValue="133.30000000000001" maxValue="151.69999999999999"/>
    </cacheField>
    <cacheField name="Transport and communication" numFmtId="0">
      <sharedItems containsSemiMixedTypes="0" containsString="0" containsNumber="1" minValue="119.3" maxValue="130.9"/>
    </cacheField>
    <cacheField name="Education" numFmtId="0">
      <sharedItems containsSemiMixedTypes="0" containsString="0" containsNumber="1" minValue="139" maxValue="156.19999999999999"/>
    </cacheField>
    <cacheField name="Average" numFmtId="164">
      <sharedItems containsSemiMixedTypes="0" containsString="0" containsNumber="1" minValue="135.56" maxValue="148.315"/>
    </cacheField>
    <cacheField name="Change in Inflation" numFmtId="10">
      <sharedItems containsSemiMixedTypes="0" containsString="0" containsNumber="1" minValue="-8.5683443529886803E-3" maxValue="1.4223681061305322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NALI UTEKAR" refreshedDate="46051.467854745373" createdVersion="8" refreshedVersion="8" minRefreshableVersion="3" recordCount="36" xr:uid="{211A83CD-EBC7-40F6-A38F-C2BD6E7A46E5}">
  <cacheSource type="worksheet">
    <worksheetSource ref="A9:D45" sheet="Ans5(a)"/>
  </cacheSource>
  <cacheFields count="7">
    <cacheField name="Year" numFmtId="0">
      <sharedItems containsSemiMixedTypes="0" containsString="0" containsNumber="1" containsInteger="1" minValue="2021" maxValue="2024" count="4">
        <n v="2021"/>
        <n v="2022"/>
        <n v="2023"/>
        <n v="2024"/>
      </sharedItems>
    </cacheField>
    <cacheField name="Month" numFmtId="165">
      <sharedItems containsSemiMixedTypes="0" containsNonDate="0" containsDate="1" containsString="0" minDate="1991-04-01T00:00:00" maxDate="1992-03-02T00:00:00" count="12">
        <d v="1991-04-01T00:00:00"/>
        <d v="1991-05-01T00:00:00"/>
        <d v="1991-06-01T00:00:00"/>
        <d v="1991-07-01T00:00:00"/>
        <d v="1991-08-01T00:00:00"/>
        <d v="1991-09-01T00:00:00"/>
        <d v="1991-10-01T00:00:00"/>
        <d v="1991-11-01T00:00:00"/>
        <d v="1991-12-01T00:00:00"/>
        <d v="1992-01-01T00:00:00"/>
        <d v="1992-02-01T00:00:00"/>
        <d v="1992-03-01T00:00:00"/>
      </sharedItems>
      <fieldGroup par="6"/>
    </cacheField>
    <cacheField name="Imported Crude Oil Price" numFmtId="4">
      <sharedItems containsSemiMixedTypes="0" containsString="0" containsNumber="1" minValue="63.396976500000008" maxValue="116.01138504999999"/>
    </cacheField>
    <cacheField name="Change Mom" numFmtId="10">
      <sharedItems containsSemiMixedTypes="0" containsString="0" containsNumber="1" minValue="-0.1079506472833215" maxValue="0.19993126557988886"/>
    </cacheField>
    <cacheField name="Months (Month)" numFmtId="0" databaseField="0">
      <fieldGroup base="1">
        <rangePr groupBy="months" startDate="1991-04-01T00:00:00" endDate="1992-03-02T00:00:00"/>
        <groupItems count="14">
          <s v="&lt;4/1/199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2/1992"/>
        </groupItems>
      </fieldGroup>
    </cacheField>
    <cacheField name="Quarters (Month)" numFmtId="0" databaseField="0">
      <fieldGroup base="1">
        <rangePr groupBy="quarters" startDate="1991-04-01T00:00:00" endDate="1992-03-02T00:00:00"/>
        <groupItems count="6">
          <s v="&lt;4/1/1991"/>
          <s v="Qtr1"/>
          <s v="Qtr2"/>
          <s v="Qtr3"/>
          <s v="Qtr4"/>
          <s v="&gt;3/2/1992"/>
        </groupItems>
      </fieldGroup>
    </cacheField>
    <cacheField name="Years (Month)" numFmtId="0" databaseField="0">
      <fieldGroup base="1">
        <rangePr groupBy="years" startDate="1991-04-01T00:00:00" endDate="1992-03-02T00:00:00"/>
        <groupItems count="4">
          <s v="&lt;4/1/1991"/>
          <s v="1991"/>
          <s v="1992"/>
          <s v="&gt;3/2/199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s v="Cereals and products"/>
    <n v="173.2"/>
    <n v="174.7"/>
    <n v="173.7"/>
    <x v="0"/>
  </r>
  <r>
    <s v="Meat and fish"/>
    <n v="211.5"/>
    <n v="219.4"/>
    <n v="214.3"/>
    <x v="0"/>
  </r>
  <r>
    <s v="Egg"/>
    <n v="171"/>
    <n v="176.7"/>
    <n v="173.2"/>
    <x v="0"/>
  </r>
  <r>
    <s v="Milk and products"/>
    <n v="179.6"/>
    <n v="179.4"/>
    <n v="179.5"/>
    <x v="0"/>
  </r>
  <r>
    <s v="Oils and fats"/>
    <n v="173.3"/>
    <n v="164.4"/>
    <n v="170"/>
    <x v="0"/>
  </r>
  <r>
    <s v="Fruits"/>
    <n v="169"/>
    <n v="175.8"/>
    <n v="172.2"/>
    <x v="0"/>
  </r>
  <r>
    <s v="Vegetables"/>
    <n v="148.69999999999999"/>
    <n v="185"/>
    <n v="161"/>
    <x v="0"/>
  </r>
  <r>
    <s v="Pulses and products"/>
    <n v="174.9"/>
    <n v="176.9"/>
    <n v="175.6"/>
    <x v="0"/>
  </r>
  <r>
    <s v="Sugar and Confectionery"/>
    <n v="121.9"/>
    <n v="124.2"/>
    <n v="122.7"/>
    <x v="0"/>
  </r>
  <r>
    <s v="Spices"/>
    <n v="221"/>
    <n v="211.9"/>
    <n v="218"/>
    <x v="0"/>
  </r>
  <r>
    <s v="Non-alcoholic beverages"/>
    <n v="178.7"/>
    <n v="165.9"/>
    <n v="173.4"/>
    <x v="0"/>
  </r>
  <r>
    <s v="Prepared meals, snacks, sweets etc."/>
    <n v="191.1"/>
    <n v="197.7"/>
    <n v="194.2"/>
    <x v="0"/>
  </r>
  <r>
    <s v="Food and beverages"/>
    <n v="176.8"/>
    <n v="183.1"/>
    <n v="179.1"/>
    <x v="0"/>
  </r>
  <r>
    <s v="Pan, tobacco and intoxicants"/>
    <n v="199.9"/>
    <n v="204.2"/>
    <n v="201"/>
    <x v="1"/>
  </r>
  <r>
    <s v="Clothing"/>
    <n v="191.2"/>
    <n v="181.3"/>
    <n v="187.3"/>
    <x v="2"/>
  </r>
  <r>
    <s v="Footwear"/>
    <n v="187.9"/>
    <n v="168.1"/>
    <n v="179.7"/>
    <x v="2"/>
  </r>
  <r>
    <s v="Clothing and footwear"/>
    <n v="190.8"/>
    <n v="179.3"/>
    <n v="186.2"/>
    <x v="2"/>
  </r>
  <r>
    <s v="Housing"/>
    <s v="-"/>
    <n v="175.6"/>
    <n v="175.6"/>
    <x v="3"/>
  </r>
  <r>
    <s v="Fuel and light"/>
    <n v="182.5"/>
    <n v="183.4"/>
    <n v="182.8"/>
    <x v="4"/>
  </r>
  <r>
    <s v="Household goods and services"/>
    <n v="179.8"/>
    <n v="170.1"/>
    <n v="175.2"/>
    <x v="3"/>
  </r>
  <r>
    <s v="Health"/>
    <n v="187.8"/>
    <n v="182.2"/>
    <n v="185.7"/>
    <x v="5"/>
  </r>
  <r>
    <s v="Transport and communication"/>
    <n v="169.7"/>
    <n v="160.4"/>
    <n v="164.8"/>
    <x v="6"/>
  </r>
  <r>
    <s v="Recreation and amusement"/>
    <n v="173.8"/>
    <n v="169.2"/>
    <n v="171.2"/>
    <x v="7"/>
  </r>
  <r>
    <s v="Education"/>
    <n v="180.3"/>
    <n v="174.8"/>
    <n v="177.1"/>
    <x v="8"/>
  </r>
  <r>
    <s v="Personal care and effects"/>
    <n v="184.9"/>
    <n v="185.6"/>
    <n v="185.2"/>
    <x v="7"/>
  </r>
  <r>
    <s v="Miscellaneous"/>
    <n v="179.5"/>
    <n v="171.6"/>
    <n v="175.7"/>
    <x v="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Rural+Urban"/>
    <n v="2022"/>
    <s v="June"/>
    <n v="173.99230769230769"/>
    <n v="1.0408290896095831"/>
    <x v="0"/>
  </r>
  <r>
    <s v="Rural+Urban"/>
    <n v="2022"/>
    <s v="July"/>
    <n v="174.33076923076925"/>
    <n v="0.19452672531943327"/>
    <x v="1"/>
  </r>
  <r>
    <s v="Rural+Urban"/>
    <n v="2022"/>
    <s v="August"/>
    <n v="174.55384615384617"/>
    <n v="0.12796187618585006"/>
    <x v="2"/>
  </r>
  <r>
    <s v="Rural+Urban"/>
    <n v="2022"/>
    <s v="September"/>
    <n v="175.45384615384617"/>
    <n v="0.51560021152829516"/>
    <x v="3"/>
  </r>
  <r>
    <s v="Rural+Urban"/>
    <n v="2022"/>
    <s v="October"/>
    <n v="176.71538461538464"/>
    <n v="0.71901442413082706"/>
    <x v="4"/>
  </r>
  <r>
    <s v="Rural+Urban"/>
    <n v="2022"/>
    <s v="November"/>
    <n v="176.67692307692309"/>
    <n v="-2.1764680276851682E-2"/>
    <x v="5"/>
  </r>
  <r>
    <s v="Rural+Urban"/>
    <n v="2022"/>
    <s v="December"/>
    <n v="175.64615384615385"/>
    <n v="-0.58342041100662179"/>
    <x v="6"/>
  </r>
  <r>
    <s v="Rural+Urban"/>
    <n v="2023"/>
    <s v="January"/>
    <n v="176.36153846153846"/>
    <n v="0.40728737847069707"/>
    <x v="7"/>
  </r>
  <r>
    <s v="Rural+Urban"/>
    <n v="2023"/>
    <s v="February"/>
    <n v="175.3153846153846"/>
    <n v="-0.59318707201117182"/>
    <x v="8"/>
  </r>
  <r>
    <s v="Rural+Urban"/>
    <n v="2023"/>
    <s v="March"/>
    <n v="175.32307692307691"/>
    <n v="4.3876968978992913E-3"/>
    <x v="9"/>
  </r>
  <r>
    <s v="Rural+Urban"/>
    <n v="2023"/>
    <s v="April"/>
    <n v="176.12307692307695"/>
    <n v="0.456300456300479"/>
    <x v="10"/>
  </r>
  <r>
    <s v="Rural+Urban"/>
    <n v="2023"/>
    <s v="May"/>
    <n v="177.45384615384617"/>
    <n v="0.75559049615652807"/>
    <x v="1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Rural+Urban"/>
    <n v="2022"/>
    <s v="June"/>
    <n v="173.99230769230769"/>
    <n v="1.0408290896095831"/>
    <x v="0"/>
    <n v="1.0408290896095831"/>
  </r>
  <r>
    <s v="Rural+Urban"/>
    <n v="2022"/>
    <s v="July"/>
    <n v="174.33076923076925"/>
    <n v="0.19452672531943327"/>
    <x v="1"/>
    <n v="0.19452672531943327"/>
  </r>
  <r>
    <s v="Rural+Urban"/>
    <n v="2022"/>
    <s v="August"/>
    <n v="174.55384615384617"/>
    <n v="0.12796187618585006"/>
    <x v="2"/>
    <n v="0.12796187618585006"/>
  </r>
  <r>
    <s v="Rural+Urban"/>
    <n v="2022"/>
    <s v="September"/>
    <n v="175.45384615384617"/>
    <n v="0.51560021152829516"/>
    <x v="3"/>
    <n v="0.51560021152829516"/>
  </r>
  <r>
    <s v="Rural+Urban"/>
    <n v="2022"/>
    <s v="October"/>
    <n v="176.71538461538464"/>
    <n v="0.71901442413082706"/>
    <x v="4"/>
    <n v="0.71901442413082706"/>
  </r>
  <r>
    <s v="Rural+Urban"/>
    <n v="2022"/>
    <s v="November"/>
    <n v="176.67692307692309"/>
    <n v="-2.1764680276851682E-2"/>
    <x v="5"/>
    <n v="2.1764680276851682E-2"/>
  </r>
  <r>
    <s v="Rural+Urban"/>
    <n v="2022"/>
    <s v="December"/>
    <n v="175.64615384615385"/>
    <n v="-0.58342041100662179"/>
    <x v="6"/>
    <n v="0.58342041100662179"/>
  </r>
  <r>
    <s v="Rural+Urban"/>
    <n v="2023"/>
    <s v="January"/>
    <n v="176.36153846153846"/>
    <n v="0.40728737847069707"/>
    <x v="7"/>
    <n v="0.40728737847069707"/>
  </r>
  <r>
    <s v="Rural+Urban"/>
    <n v="2023"/>
    <s v="February"/>
    <n v="175.3153846153846"/>
    <n v="-0.59318707201117182"/>
    <x v="8"/>
    <n v="0.59318707201117182"/>
  </r>
  <r>
    <s v="Rural+Urban"/>
    <n v="2023"/>
    <s v="March"/>
    <n v="175.32307692307691"/>
    <n v="4.3876968978992913E-3"/>
    <x v="9"/>
    <n v="4.3876968978992913E-3"/>
  </r>
  <r>
    <s v="Rural+Urban"/>
    <n v="2023"/>
    <s v="April"/>
    <n v="176.12307692307695"/>
    <n v="0.456300456300479"/>
    <x v="10"/>
    <n v="0.456300456300479"/>
  </r>
  <r>
    <s v="Rural+Urban"/>
    <n v="2023"/>
    <s v="May"/>
    <n v="177.45384615384617"/>
    <n v="0.75559049615652807"/>
    <x v="11"/>
    <n v="0.75559049615652807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5.295471987720627E-2"/>
  </r>
  <r>
    <x v="1"/>
    <n v="2.3374726077428697E-2"/>
  </r>
  <r>
    <x v="2"/>
    <n v="7.7363896848137617E-2"/>
  </r>
  <r>
    <x v="3"/>
    <n v="5.7922769640479481E-2"/>
  </r>
  <r>
    <x v="4"/>
    <n v="5.657978385251098E-2"/>
  </r>
  <r>
    <x v="5"/>
    <n v="6.0350030175015092E-2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Rural+Urban"/>
    <x v="0"/>
    <x v="0"/>
    <n v="173.99230769230769"/>
    <n v="1.040829089609583E-2"/>
    <s v="June2022"/>
    <n v="1.040829089609583E-2"/>
    <n v="155"/>
    <n v="219.4"/>
    <n v="170.8"/>
    <n v="165.8"/>
    <n v="200.9"/>
    <n v="169.7"/>
    <n v="182.3"/>
    <n v="164.3"/>
    <n v="119.9"/>
    <n v="187.1"/>
    <n v="167.9"/>
    <n v="183.9"/>
    <n v="174.9"/>
  </r>
  <r>
    <s v="Rural+Urban"/>
    <x v="0"/>
    <x v="1"/>
    <n v="174.33076923076925"/>
    <n v="0.19452672531943327"/>
    <s v="July2022"/>
    <n v="0.19452672531943327"/>
    <n v="156.5"/>
    <n v="213"/>
    <n v="175.2"/>
    <n v="166.6"/>
    <n v="195.8"/>
    <n v="174.2"/>
    <n v="182.1"/>
    <n v="164.3"/>
    <n v="120"/>
    <n v="190"/>
    <n v="168.4"/>
    <n v="185.2"/>
    <n v="175"/>
  </r>
  <r>
    <s v="Rural+Urban"/>
    <x v="0"/>
    <x v="2"/>
    <n v="174.55384615384617"/>
    <n v="0.12796187618585006"/>
    <s v="August2022"/>
    <n v="0.12796187618585006"/>
    <n v="160.30000000000001"/>
    <n v="206.5"/>
    <n v="169.2"/>
    <n v="168.1"/>
    <n v="192.4"/>
    <n v="172.9"/>
    <n v="186.7"/>
    <n v="167.2"/>
    <n v="120.9"/>
    <n v="193.6"/>
    <n v="168.8"/>
    <n v="186.3"/>
    <n v="176.3"/>
  </r>
  <r>
    <s v="Rural+Urban"/>
    <x v="0"/>
    <x v="3"/>
    <n v="175.45384615384617"/>
    <n v="0.51560021152829516"/>
    <s v="September2022"/>
    <n v="0.51560021152829516"/>
    <n v="163.5"/>
    <n v="209.2"/>
    <n v="169.7"/>
    <n v="169.7"/>
    <n v="188.7"/>
    <n v="165.7"/>
    <n v="191.8"/>
    <n v="169.1"/>
    <n v="121.6"/>
    <n v="197.3"/>
    <n v="169.4"/>
    <n v="187.4"/>
    <n v="177.8"/>
  </r>
  <r>
    <s v="Rural+Urban"/>
    <x v="0"/>
    <x v="4"/>
    <n v="176.71538461538464"/>
    <n v="0.71901442413082706"/>
    <s v="October2022"/>
    <n v="0.71901442413082706"/>
    <n v="165.2"/>
    <n v="210.9"/>
    <n v="170.9"/>
    <n v="170.9"/>
    <n v="186.5"/>
    <n v="163.80000000000001"/>
    <n v="199.7"/>
    <n v="169.8"/>
    <n v="121.9"/>
    <n v="199.9"/>
    <n v="169.9"/>
    <n v="188.3"/>
    <n v="179.6"/>
  </r>
  <r>
    <s v="Rural+Urban"/>
    <x v="0"/>
    <x v="5"/>
    <n v="176.67692307692309"/>
    <n v="-2.1764680276851682E-2"/>
    <s v="November2022"/>
    <n v="2.1764680276851682E-2"/>
    <n v="167.4"/>
    <n v="209.4"/>
    <n v="181.4"/>
    <n v="172.3"/>
    <n v="188.9"/>
    <n v="160.69999999999999"/>
    <n v="183.1"/>
    <n v="170.5"/>
    <n v="122.1"/>
    <n v="202.8"/>
    <n v="170.4"/>
    <n v="189.5"/>
    <n v="178.3"/>
  </r>
  <r>
    <s v="Rural+Urban"/>
    <x v="0"/>
    <x v="6"/>
    <n v="175.64615384615385"/>
    <n v="-0.58342041100662179"/>
    <s v="December2022"/>
    <n v="0.58342041100662179"/>
    <n v="169.2"/>
    <n v="209"/>
    <n v="190.2"/>
    <n v="173.6"/>
    <n v="188.5"/>
    <n v="158"/>
    <n v="159.9"/>
    <n v="170.8"/>
    <n v="121.8"/>
    <n v="205.2"/>
    <n v="171"/>
    <n v="190.3"/>
    <n v="175.9"/>
  </r>
  <r>
    <s v="Rural+Urban"/>
    <x v="1"/>
    <x v="7"/>
    <n v="176.36153846153846"/>
    <n v="0.40728737847069707"/>
    <s v="January2023"/>
    <n v="0.40728737847069707"/>
    <n v="173.8"/>
    <n v="210.7"/>
    <n v="194.5"/>
    <n v="174.6"/>
    <n v="187.2"/>
    <n v="158.30000000000001"/>
    <n v="153.9"/>
    <n v="170.9"/>
    <n v="121.1"/>
    <n v="208.4"/>
    <n v="171.4"/>
    <n v="191.2"/>
    <n v="176.7"/>
  </r>
  <r>
    <s v="Rural+Urban"/>
    <x v="1"/>
    <x v="8"/>
    <n v="175.3153846153846"/>
    <n v="-0.59318707201117182"/>
    <s v="February2023"/>
    <n v="0.59318707201117182"/>
    <n v="174.4"/>
    <n v="207.7"/>
    <n v="175.2"/>
    <n v="177.3"/>
    <n v="179.3"/>
    <n v="169.5"/>
    <n v="152.69999999999999"/>
    <n v="171"/>
    <n v="120"/>
    <n v="209.7"/>
    <n v="172.3"/>
    <n v="193"/>
    <n v="177"/>
  </r>
  <r>
    <s v="Rural+Urban"/>
    <x v="1"/>
    <x v="9"/>
    <n v="175.32307692307691"/>
    <n v="4.3876968978992913E-3"/>
    <s v="March2023"/>
    <n v="4.3876968978992913E-3"/>
    <n v="174.4"/>
    <n v="207.7"/>
    <n v="175.2"/>
    <n v="177.3"/>
    <n v="179.2"/>
    <n v="169.5"/>
    <n v="152.80000000000001"/>
    <n v="171.1"/>
    <n v="120"/>
    <n v="209.7"/>
    <n v="172.3"/>
    <n v="193"/>
    <n v="177"/>
  </r>
  <r>
    <s v="Rural+Urban"/>
    <x v="1"/>
    <x v="10"/>
    <n v="176.12307692307695"/>
    <n v="0.456300456300479"/>
    <s v="April2023"/>
    <n v="0.456300456300479"/>
    <n v="173.8"/>
    <n v="209.3"/>
    <n v="169.6"/>
    <n v="178.4"/>
    <n v="174.9"/>
    <n v="176.3"/>
    <n v="155.4"/>
    <n v="173.4"/>
    <n v="121.3"/>
    <n v="212.9"/>
    <n v="172.9"/>
    <n v="193.5"/>
    <n v="177.9"/>
  </r>
  <r>
    <s v="Rural+Urban"/>
    <x v="1"/>
    <x v="11"/>
    <n v="177.45384615384617"/>
    <n v="0.75559049615652807"/>
    <s v="May2023"/>
    <n v="0.75559049615652807"/>
    <n v="173.7"/>
    <n v="214.3"/>
    <n v="173.2"/>
    <n v="179.5"/>
    <n v="170"/>
    <n v="172.2"/>
    <n v="161"/>
    <n v="175.6"/>
    <n v="122.7"/>
    <n v="218"/>
    <n v="173.4"/>
    <n v="194.2"/>
    <n v="179.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s v="Rural+Urban"/>
    <x v="0"/>
    <x v="0"/>
    <n v="136"/>
    <n v="144.19999999999999"/>
    <n v="143.69999999999999"/>
    <n v="141.1"/>
    <n v="120.7"/>
    <n v="141.30000000000001"/>
    <n v="151.6"/>
    <n v="127.3"/>
    <n v="118.8"/>
    <n v="137.5"/>
    <n v="129"/>
    <n v="149.5"/>
    <n v="139.19999999999999"/>
    <n v="143.5"/>
    <n v="135.5"/>
    <n v="142.30000000000001"/>
    <n v="136.6"/>
    <n v="133.30000000000001"/>
    <n v="119.3"/>
    <n v="139"/>
    <n v="136.47000000000003"/>
    <n v="0"/>
  </r>
  <r>
    <s v="Rural+Urban"/>
    <x v="0"/>
    <x v="1"/>
    <n v="135.9"/>
    <n v="143.5"/>
    <n v="140.30000000000001"/>
    <n v="140.9"/>
    <n v="120.4"/>
    <n v="142.9"/>
    <n v="140.5"/>
    <n v="125.8"/>
    <n v="117.1"/>
    <n v="137.30000000000001"/>
    <n v="128.6"/>
    <n v="149.6"/>
    <n v="137.6"/>
    <n v="143.80000000000001"/>
    <n v="135.6"/>
    <n v="142.6"/>
    <n v="136.69999999999999"/>
    <n v="133.80000000000001"/>
    <n v="120.2"/>
    <n v="139"/>
    <n v="135.60499999999996"/>
    <n v="-6.3383893896099197E-3"/>
  </r>
  <r>
    <s v="Rural+Urban"/>
    <x v="0"/>
    <x v="2"/>
    <n v="136.19999999999999"/>
    <n v="143.6"/>
    <n v="138.30000000000001"/>
    <n v="141.19999999999999"/>
    <n v="120.7"/>
    <n v="146.19999999999999"/>
    <n v="134.6"/>
    <n v="124.6"/>
    <n v="116.1"/>
    <n v="137.80000000000001"/>
    <n v="129.1"/>
    <n v="150.4"/>
    <n v="137.19999999999999"/>
    <n v="144.30000000000001"/>
    <n v="136.19999999999999"/>
    <n v="143.1"/>
    <n v="136.5"/>
    <n v="134.30000000000001"/>
    <n v="121"/>
    <n v="139.80000000000001"/>
    <n v="135.56"/>
    <n v="-3.3184617086360447E-4"/>
  </r>
  <r>
    <s v="Rural+Urban"/>
    <x v="0"/>
    <x v="3"/>
    <n v="136.4"/>
    <n v="144.4"/>
    <n v="133.9"/>
    <n v="141.6"/>
    <n v="121"/>
    <n v="153.5"/>
    <n v="132.6"/>
    <n v="123.5"/>
    <n v="113.7"/>
    <n v="138.19999999999999"/>
    <n v="129.6"/>
    <n v="151.19999999999999"/>
    <n v="137.5"/>
    <n v="145.30000000000001"/>
    <n v="136.69999999999999"/>
    <n v="144"/>
    <n v="136.5"/>
    <n v="135.19999999999999"/>
    <n v="121.9"/>
    <n v="141.4"/>
    <n v="135.90500000000003"/>
    <n v="2.5449985246387375E-3"/>
  </r>
  <r>
    <s v="Rural+Urban"/>
    <x v="0"/>
    <x v="4"/>
    <n v="136.6"/>
    <n v="146.6"/>
    <n v="133.6"/>
    <n v="142.1"/>
    <n v="121"/>
    <n v="154.6"/>
    <n v="135.6"/>
    <n v="122.3"/>
    <n v="109.6"/>
    <n v="138.1"/>
    <n v="129.9"/>
    <n v="151.69999999999999"/>
    <n v="138.1"/>
    <n v="146"/>
    <n v="137.4"/>
    <n v="144.69999999999999"/>
    <n v="136.9"/>
    <n v="136"/>
    <n v="122.9"/>
    <n v="142.1"/>
    <n v="136.29000000000002"/>
    <n v="2.8328611898016322E-3"/>
  </r>
  <r>
    <s v="Rural+Urban"/>
    <x v="0"/>
    <x v="5"/>
    <n v="136.9"/>
    <n v="148.69999999999999"/>
    <n v="135.6"/>
    <n v="142.30000000000001"/>
    <n v="121.3"/>
    <n v="153.19999999999999"/>
    <n v="143.69999999999999"/>
    <n v="121.4"/>
    <n v="111.1"/>
    <n v="138.4"/>
    <n v="130.30000000000001"/>
    <n v="151.80000000000001"/>
    <n v="139.4"/>
    <n v="146.4"/>
    <n v="138.1"/>
    <n v="145.19999999999999"/>
    <n v="138.1"/>
    <n v="136.19999999999999"/>
    <n v="123.7"/>
    <n v="142.80000000000001"/>
    <n v="137.22999999999999"/>
    <n v="6.8970577445151456E-3"/>
  </r>
  <r>
    <s v="Rural+Urban"/>
    <x v="0"/>
    <x v="6"/>
    <n v="137.5"/>
    <n v="149.1"/>
    <n v="139.19999999999999"/>
    <n v="142.5"/>
    <n v="121.4"/>
    <n v="151.6"/>
    <n v="155.9"/>
    <n v="121.7"/>
    <n v="113.5"/>
    <n v="138.9"/>
    <n v="130.30000000000001"/>
    <n v="152.30000000000001"/>
    <n v="141.4"/>
    <n v="146.80000000000001"/>
    <n v="138.4"/>
    <n v="145.6"/>
    <n v="139.69999999999999"/>
    <n v="137"/>
    <n v="123.6"/>
    <n v="144.69999999999999"/>
    <n v="138.55499999999998"/>
    <n v="9.6553231800625867E-3"/>
  </r>
  <r>
    <s v="Rural+Urban"/>
    <x v="0"/>
    <x v="7"/>
    <n v="138.30000000000001"/>
    <n v="148"/>
    <n v="138.1"/>
    <n v="142.6"/>
    <n v="122.2"/>
    <n v="150.6"/>
    <n v="156.6"/>
    <n v="122.4"/>
    <n v="114.7"/>
    <n v="139.4"/>
    <n v="131.1"/>
    <n v="153"/>
    <n v="141.69999999999999"/>
    <n v="147.30000000000001"/>
    <n v="138.80000000000001"/>
    <n v="146.1"/>
    <n v="140.9"/>
    <n v="137.69999999999999"/>
    <n v="124.3"/>
    <n v="146"/>
    <n v="138.99"/>
    <n v="3.1395474721232059E-3"/>
  </r>
  <r>
    <s v="Rural+Urban"/>
    <x v="0"/>
    <x v="8"/>
    <n v="138.6"/>
    <n v="145.80000000000001"/>
    <n v="135.1"/>
    <n v="142.9"/>
    <n v="122.1"/>
    <n v="145.4"/>
    <n v="150"/>
    <n v="121.4"/>
    <n v="113.7"/>
    <n v="139.5"/>
    <n v="130.80000000000001"/>
    <n v="153.80000000000001"/>
    <n v="140.4"/>
    <n v="147.69999999999999"/>
    <n v="139.1"/>
    <n v="146.5"/>
    <n v="142.30000000000001"/>
    <n v="138.4"/>
    <n v="126"/>
    <n v="146.19999999999999"/>
    <n v="138.28500000000003"/>
    <n v="-5.0723073602416289E-3"/>
  </r>
  <r>
    <s v="Rural+Urban"/>
    <x v="0"/>
    <x v="9"/>
    <n v="137.4"/>
    <n v="149.5"/>
    <n v="137.30000000000001"/>
    <n v="141.9"/>
    <n v="121.1"/>
    <n v="142.5"/>
    <n v="146.69999999999999"/>
    <n v="119.1"/>
    <n v="111.9"/>
    <n v="141"/>
    <n v="133.6"/>
    <n v="154.5"/>
    <n v="139.69999999999999"/>
    <n v="148"/>
    <n v="139.19999999999999"/>
    <n v="146.80000000000001"/>
    <n v="145.30000000000001"/>
    <n v="142.1"/>
    <n v="125.5"/>
    <n v="147.80000000000001"/>
    <n v="138.54500000000002"/>
    <n v="1.8801750009038642E-3"/>
  </r>
  <r>
    <s v="Rural+Urban"/>
    <x v="0"/>
    <x v="10"/>
    <n v="137.4"/>
    <n v="149.19999999999999"/>
    <n v="137.1"/>
    <n v="141.80000000000001"/>
    <n v="121.1"/>
    <n v="142.80000000000001"/>
    <n v="146.69999999999999"/>
    <n v="119.1"/>
    <n v="111.9"/>
    <n v="140.9"/>
    <n v="133.5"/>
    <n v="154.5"/>
    <n v="139.69999999999999"/>
    <n v="148"/>
    <n v="139.1"/>
    <n v="146.69999999999999"/>
    <n v="145.1"/>
    <n v="142.1"/>
    <n v="125.5"/>
    <n v="147.80000000000001"/>
    <n v="138.5"/>
    <n v="-3.2480421523704145E-4"/>
  </r>
  <r>
    <s v="Rural+Urban"/>
    <x v="0"/>
    <x v="11"/>
    <n v="137.5"/>
    <n v="150.5"/>
    <n v="138.80000000000001"/>
    <n v="142.1"/>
    <n v="122"/>
    <n v="139.4"/>
    <n v="135.19999999999999"/>
    <n v="119.8"/>
    <n v="110.3"/>
    <n v="140.6"/>
    <n v="133.80000000000001"/>
    <n v="154.6"/>
    <n v="138.19999999999999"/>
    <n v="148.1"/>
    <n v="139.4"/>
    <n v="146.80000000000001"/>
    <n v="142.69999999999999"/>
    <n v="144.9"/>
    <n v="123.6"/>
    <n v="150.1"/>
    <n v="137.91999999999999"/>
    <n v="-4.1877256317690431E-3"/>
  </r>
  <r>
    <s v="Rural+Urban"/>
    <x v="1"/>
    <x v="0"/>
    <n v="137.1"/>
    <n v="151.4"/>
    <n v="140.19999999999999"/>
    <n v="142.1"/>
    <n v="121.8"/>
    <n v="135.4"/>
    <n v="131.30000000000001"/>
    <n v="120.3"/>
    <n v="109.1"/>
    <n v="139.4"/>
    <n v="133.30000000000001"/>
    <n v="154.6"/>
    <n v="137.4"/>
    <n v="147.6"/>
    <n v="139"/>
    <n v="146.4"/>
    <n v="139.5"/>
    <n v="145.1"/>
    <n v="123.3"/>
    <n v="150.19999999999999"/>
    <n v="137.22499999999997"/>
    <n v="-5.0391531322507375E-3"/>
  </r>
  <r>
    <s v="Rural+Urban"/>
    <x v="1"/>
    <x v="1"/>
    <n v="137.6"/>
    <n v="152"/>
    <n v="141.5"/>
    <n v="142.19999999999999"/>
    <n v="122"/>
    <n v="136.4"/>
    <n v="129.69999999999999"/>
    <n v="121"/>
    <n v="109"/>
    <n v="139.69999999999999"/>
    <n v="133.6"/>
    <n v="154.9"/>
    <n v="137.5"/>
    <n v="147.69999999999999"/>
    <n v="139.69999999999999"/>
    <n v="146.5"/>
    <n v="138.4"/>
    <n v="145.6"/>
    <n v="123.9"/>
    <n v="150.30000000000001"/>
    <n v="137.46"/>
    <n v="1.7125159409731618E-3"/>
  </r>
  <r>
    <s v="Rural+Urban"/>
    <x v="1"/>
    <x v="2"/>
    <n v="137.80000000000001"/>
    <n v="153"/>
    <n v="140.30000000000001"/>
    <n v="142.30000000000001"/>
    <n v="122"/>
    <n v="137.6"/>
    <n v="132.6"/>
    <n v="121.8"/>
    <n v="109"/>
    <n v="139.5"/>
    <n v="133.69999999999999"/>
    <n v="155.19999999999999"/>
    <n v="138.1"/>
    <n v="147.9"/>
    <n v="139.9"/>
    <n v="146.69999999999999"/>
    <n v="139.69999999999999"/>
    <n v="146.19999999999999"/>
    <n v="124.6"/>
    <n v="150.30000000000001"/>
    <n v="137.91"/>
    <n v="3.2736796158881754E-3"/>
  </r>
  <r>
    <s v="Rural+Urban"/>
    <x v="1"/>
    <x v="4"/>
    <n v="138.30000000000001"/>
    <n v="158.5"/>
    <n v="136"/>
    <n v="142.5"/>
    <n v="122"/>
    <n v="146.5"/>
    <n v="143"/>
    <n v="124.9"/>
    <n v="109.9"/>
    <n v="139.9"/>
    <n v="134"/>
    <n v="155.5"/>
    <n v="140.9"/>
    <n v="148.4"/>
    <n v="140.4"/>
    <n v="147.30000000000001"/>
    <n v="140.30000000000001"/>
    <n v="146.9"/>
    <n v="124.9"/>
    <n v="151.6"/>
    <n v="139.58500000000004"/>
    <n v="1.2145602204336451E-2"/>
  </r>
  <r>
    <s v="Rural+Urban"/>
    <x v="1"/>
    <x v="5"/>
    <n v="138.69999999999999"/>
    <n v="162.1"/>
    <n v="137.80000000000001"/>
    <n v="143.30000000000001"/>
    <n v="122.2"/>
    <n v="146.80000000000001"/>
    <n v="150.5"/>
    <n v="128.30000000000001"/>
    <n v="111"/>
    <n v="140.6"/>
    <n v="134.19999999999999"/>
    <n v="155.9"/>
    <n v="142.69999999999999"/>
    <n v="148.6"/>
    <n v="140.4"/>
    <n v="147.4"/>
    <n v="141.19999999999999"/>
    <n v="147.4"/>
    <n v="124.6"/>
    <n v="152.5"/>
    <n v="140.81"/>
    <n v="8.7760146147506223E-3"/>
  </r>
  <r>
    <s v="Rural+Urban"/>
    <x v="1"/>
    <x v="6"/>
    <n v="139.30000000000001"/>
    <n v="162.69999999999999"/>
    <n v="140"/>
    <n v="144"/>
    <n v="122.5"/>
    <n v="150.30000000000001"/>
    <n v="160.30000000000001"/>
    <n v="130"/>
    <n v="111.1"/>
    <n v="141.69999999999999"/>
    <n v="134.69999999999999"/>
    <n v="156.19999999999999"/>
    <n v="144.69999999999999"/>
    <n v="148.9"/>
    <n v="140.5"/>
    <n v="147.6"/>
    <n v="139.30000000000001"/>
    <n v="147.9"/>
    <n v="125.6"/>
    <n v="154"/>
    <n v="142.065"/>
    <n v="8.9127192670974756E-3"/>
  </r>
  <r>
    <s v="Rural+Urban"/>
    <x v="1"/>
    <x v="7"/>
    <n v="140.1"/>
    <n v="160.6"/>
    <n v="138.5"/>
    <n v="144.69999999999999"/>
    <n v="122.9"/>
    <n v="149.4"/>
    <n v="167.4"/>
    <n v="130.9"/>
    <n v="112"/>
    <n v="142.6"/>
    <n v="134.9"/>
    <n v="156.6"/>
    <n v="145.9"/>
    <n v="149.1"/>
    <n v="140.6"/>
    <n v="147.9"/>
    <n v="138.5"/>
    <n v="148.5"/>
    <n v="125.8"/>
    <n v="154.9"/>
    <n v="142.59"/>
    <n v="3.695491500369589E-3"/>
  </r>
  <r>
    <s v="Rural+Urban"/>
    <x v="1"/>
    <x v="8"/>
    <n v="140.9"/>
    <n v="160.80000000000001"/>
    <n v="139.6"/>
    <n v="145.4"/>
    <n v="123.5"/>
    <n v="146.6"/>
    <n v="173.2"/>
    <n v="131.6"/>
    <n v="113.2"/>
    <n v="144.1"/>
    <n v="135"/>
    <n v="156.80000000000001"/>
    <n v="147"/>
    <n v="149.19999999999999"/>
    <n v="140.6"/>
    <n v="147.9"/>
    <n v="139.19999999999999"/>
    <n v="149"/>
    <n v="126.1"/>
    <n v="155.19999999999999"/>
    <n v="143.24499999999998"/>
    <n v="4.5935900133247266E-3"/>
  </r>
  <r>
    <s v="Rural+Urban"/>
    <x v="1"/>
    <x v="9"/>
    <n v="141.80000000000001"/>
    <n v="161"/>
    <n v="142.6"/>
    <n v="146.19999999999999"/>
    <n v="123.9"/>
    <n v="148"/>
    <n v="188.4"/>
    <n v="132.5"/>
    <n v="114"/>
    <n v="145.4"/>
    <n v="135.1"/>
    <n v="157.1"/>
    <n v="149.6"/>
    <n v="149.4"/>
    <n v="140.80000000000001"/>
    <n v="148.19999999999999"/>
    <n v="140.6"/>
    <n v="149.4"/>
    <n v="126.3"/>
    <n v="155.4"/>
    <n v="144.785"/>
    <n v="1.0750811546650987E-2"/>
  </r>
  <r>
    <s v="Rural+Urban"/>
    <x v="1"/>
    <x v="10"/>
    <n v="142.5"/>
    <n v="163.19999999999999"/>
    <n v="145.6"/>
    <n v="146.69999999999999"/>
    <n v="124.3"/>
    <n v="147.4"/>
    <n v="199.6"/>
    <n v="135.69999999999999"/>
    <n v="114.2"/>
    <n v="147"/>
    <n v="135.30000000000001"/>
    <n v="157.5"/>
    <n v="151.9"/>
    <n v="149.9"/>
    <n v="141"/>
    <n v="148.6"/>
    <n v="142.30000000000001"/>
    <n v="149.9"/>
    <n v="126.6"/>
    <n v="155.5"/>
    <n v="146.23500000000001"/>
    <n v="1.0014849604586229E-2"/>
  </r>
  <r>
    <s v="Rural+Urban"/>
    <x v="1"/>
    <x v="11"/>
    <n v="143.5"/>
    <n v="165"/>
    <n v="151.1"/>
    <n v="148.30000000000001"/>
    <n v="125.7"/>
    <n v="145.69999999999999"/>
    <n v="217"/>
    <n v="138.30000000000001"/>
    <n v="114"/>
    <n v="148.69999999999999"/>
    <n v="135.80000000000001"/>
    <n v="158"/>
    <n v="155"/>
    <n v="150.30000000000001"/>
    <n v="141.30000000000001"/>
    <n v="149"/>
    <n v="143.69999999999999"/>
    <n v="150.4"/>
    <n v="129.80000000000001"/>
    <n v="155.69999999999999"/>
    <n v="148.315"/>
    <n v="1.4223681061305322E-2"/>
  </r>
  <r>
    <s v="Rural+Urban"/>
    <x v="2"/>
    <x v="0"/>
    <n v="144.30000000000001"/>
    <n v="167.4"/>
    <n v="154.9"/>
    <n v="150.1"/>
    <n v="129.9"/>
    <n v="143.19999999999999"/>
    <n v="197"/>
    <n v="140.4"/>
    <n v="114.1"/>
    <n v="150.9"/>
    <n v="136.1"/>
    <n v="158.6"/>
    <n v="153.5"/>
    <n v="150.5"/>
    <n v="141.5"/>
    <n v="149.19999999999999"/>
    <n v="144.6"/>
    <n v="151.19999999999999"/>
    <n v="130.9"/>
    <n v="156.1"/>
    <n v="148.21999999999997"/>
    <n v="-6.4052860465918678E-4"/>
  </r>
  <r>
    <s v="Rural+Urban"/>
    <x v="2"/>
    <x v="1"/>
    <n v="144.80000000000001"/>
    <n v="167.5"/>
    <n v="151.80000000000001"/>
    <n v="150.80000000000001"/>
    <n v="131.4"/>
    <n v="141.80000000000001"/>
    <n v="170.7"/>
    <n v="141.1"/>
    <n v="113.6"/>
    <n v="152"/>
    <n v="136.5"/>
    <n v="159.1"/>
    <n v="150.5"/>
    <n v="150.80000000000001"/>
    <n v="141.69999999999999"/>
    <n v="149.5"/>
    <n v="147.19999999999999"/>
    <n v="151.69999999999999"/>
    <n v="130.30000000000001"/>
    <n v="156.19999999999999"/>
    <n v="146.94999999999999"/>
    <n v="-8.5683443529886803E-3"/>
  </r>
  <r>
    <s v="Rural+Urban"/>
    <x v="2"/>
    <x v="2"/>
    <n v="145.1"/>
    <n v="167"/>
    <n v="148.1"/>
    <n v="151.5"/>
    <n v="131.19999999999999"/>
    <n v="142.5"/>
    <n v="157.30000000000001"/>
    <n v="141.1"/>
    <n v="113.2"/>
    <n v="153.19999999999999"/>
    <n v="136.69999999999999"/>
    <n v="159.6"/>
    <n v="148.9"/>
    <n v="151.19999999999999"/>
    <n v="141.9"/>
    <n v="149.80000000000001"/>
    <n v="148.9"/>
    <n v="152.30000000000001"/>
    <n v="129.9"/>
    <n v="156.1"/>
    <n v="146.27500000000003"/>
    <n v="-4.5933991153450466E-3"/>
  </r>
  <r>
    <s v="Rural+Urban"/>
    <x v="2"/>
    <x v="3"/>
    <n v="148.69999999999999"/>
    <n v="167.2"/>
    <n v="148.80000000000001"/>
    <n v="155.6"/>
    <n v="135.1"/>
    <n v="149.9"/>
    <n v="168.6"/>
    <n v="150.4"/>
    <n v="120.3"/>
    <n v="157.1"/>
    <n v="136.80000000000001"/>
    <n v="160.69999999999999"/>
    <n v="151.4"/>
    <n v="151.80000000000001"/>
    <n v="143.1"/>
    <n v="150.6"/>
    <n v="144.1"/>
    <n v="150.69999999999999"/>
    <n v="132.4"/>
    <n v="156.19999999999999"/>
    <n v="148.97499999999997"/>
    <n v="1.845838318236152E-2"/>
  </r>
  <r>
    <s v="Rural+Urban"/>
    <x v="2"/>
    <x v="4"/>
    <n v="149.14999999999998"/>
    <n v="179.95"/>
    <n v="150.10000000000002"/>
    <n v="154.44999999999999"/>
    <n v="135.69999999999999"/>
    <n v="148.55000000000001"/>
    <n v="162.55000000000001"/>
    <n v="150.65"/>
    <n v="117.25"/>
    <n v="158.30000000000001"/>
    <n v="138.10000000000002"/>
    <n v="161.80000000000001"/>
    <n v="152.69999999999999"/>
    <n v="152.5"/>
    <n v="144.4"/>
    <n v="151.4"/>
    <n v="143"/>
    <n v="152.55000000000001"/>
    <n v="135"/>
    <n v="156.4"/>
    <n v="149.72500000000002"/>
    <n v="5.0344017452596543E-3"/>
  </r>
  <r>
    <s v="Rural+Urban"/>
    <x v="2"/>
    <x v="5"/>
    <n v="149.6"/>
    <n v="192.7"/>
    <n v="151.4"/>
    <n v="153.30000000000001"/>
    <n v="136.30000000000001"/>
    <n v="147.19999999999999"/>
    <n v="156.5"/>
    <n v="150.9"/>
    <n v="114.2"/>
    <n v="159.5"/>
    <n v="139.4"/>
    <n v="161.80000000000001"/>
    <n v="154"/>
    <n v="152.5"/>
    <n v="144.4"/>
    <n v="151.4"/>
    <n v="141.9"/>
    <n v="154.4"/>
    <n v="135"/>
    <n v="156.4"/>
    <n v="150.14000000000004"/>
    <n v="2.7717482050427142E-3"/>
  </r>
  <r>
    <s v="Rural+Urban"/>
    <x v="2"/>
    <x v="6"/>
    <n v="149.6"/>
    <n v="192.7"/>
    <n v="151.4"/>
    <n v="153.30000000000001"/>
    <n v="136.30000000000001"/>
    <n v="147.19999999999999"/>
    <n v="156.5"/>
    <n v="150.9"/>
    <n v="114.2"/>
    <n v="159.5"/>
    <n v="139.4"/>
    <n v="161.80000000000001"/>
    <n v="154"/>
    <n v="152.5"/>
    <n v="144.4"/>
    <n v="151.4"/>
    <n v="141.9"/>
    <n v="154.4"/>
    <n v="135"/>
    <n v="156.4"/>
    <n v="150.14000000000004"/>
    <n v="0"/>
  </r>
  <r>
    <s v="Rural+Urban"/>
    <x v="2"/>
    <x v="7"/>
    <n v="148.9"/>
    <n v="190.9"/>
    <n v="150.80000000000001"/>
    <n v="153.30000000000001"/>
    <n v="137.4"/>
    <n v="150.4"/>
    <n v="178.1"/>
    <n v="150.4"/>
    <n v="115.1"/>
    <n v="160"/>
    <n v="140.6"/>
    <n v="162.30000000000001"/>
    <n v="157"/>
    <n v="153.1"/>
    <n v="143.4"/>
    <n v="151.69999999999999"/>
    <n v="143"/>
    <n v="155"/>
    <n v="138.5"/>
    <n v="158.5"/>
    <n v="151.91999999999999"/>
    <n v="1.1855601438656879E-2"/>
  </r>
  <r>
    <s v="Rural+Urban"/>
    <x v="2"/>
    <x v="8"/>
    <n v="148.4"/>
    <n v="187.1"/>
    <n v="152.5"/>
    <n v="153.6"/>
    <n v="138.19999999999999"/>
    <n v="150.9"/>
    <n v="186.7"/>
    <n v="149.80000000000001"/>
    <n v="116.4"/>
    <n v="160.30000000000001"/>
    <n v="142.19999999999999"/>
    <n v="162.9"/>
    <n v="158"/>
    <n v="153.4"/>
    <n v="144.30000000000001"/>
    <n v="152"/>
    <n v="142.9"/>
    <n v="155.6"/>
    <n v="139.6"/>
    <n v="157.5"/>
    <n v="152.61500000000001"/>
    <n v="4.5747761979990894E-3"/>
  </r>
  <r>
    <s v="Rural+Urban"/>
    <x v="2"/>
    <x v="9"/>
    <n v="147.5"/>
    <n v="188.9"/>
    <n v="161.4"/>
    <n v="153.6"/>
    <n v="140.1"/>
    <n v="151.19999999999999"/>
    <n v="209.2"/>
    <n v="150.9"/>
    <n v="116.2"/>
    <n v="161"/>
    <n v="144"/>
    <n v="163.19999999999999"/>
    <n v="161.4"/>
    <n v="153.69999999999999"/>
    <n v="144.6"/>
    <n v="152.30000000000001"/>
    <n v="143.1"/>
    <n v="156.30000000000001"/>
    <n v="140.6"/>
    <n v="158.5"/>
    <n v="154.88500000000002"/>
    <n v="1.4874029420437114E-2"/>
  </r>
  <r>
    <s v="Rural+Urban"/>
    <x v="2"/>
    <x v="10"/>
    <n v="146.80000000000001"/>
    <n v="191"/>
    <n v="173.6"/>
    <n v="153.80000000000001"/>
    <n v="142.69999999999999"/>
    <n v="148.4"/>
    <n v="230"/>
    <n v="156.80000000000001"/>
    <n v="115.7"/>
    <n v="161.80000000000001"/>
    <n v="146.5"/>
    <n v="163.80000000000001"/>
    <n v="164.7"/>
    <n v="154.30000000000001"/>
    <n v="144.9"/>
    <n v="152.80000000000001"/>
    <n v="143.6"/>
    <n v="157.19999999999999"/>
    <n v="140.4"/>
    <n v="158.6"/>
    <n v="157.37"/>
    <n v="1.6044161797462535E-2"/>
  </r>
  <r>
    <s v="Rural+Urban"/>
    <x v="2"/>
    <x v="11"/>
    <n v="146"/>
    <n v="191"/>
    <n v="175.3"/>
    <n v="154.1"/>
    <n v="146.6"/>
    <n v="147.69999999999999"/>
    <n v="230.5"/>
    <n v="160.19999999999999"/>
    <n v="115.3"/>
    <n v="163"/>
    <n v="149.19999999999999"/>
    <n v="164.8"/>
    <n v="165.4"/>
    <n v="155"/>
    <n v="145.4"/>
    <n v="153.6"/>
    <n v="144.6"/>
    <n v="158.30000000000001"/>
    <n v="140.69999999999999"/>
    <n v="159.4"/>
    <n v="158.30500000000001"/>
    <n v="5.9414119590773477E-3"/>
  </r>
  <r>
    <s v="Rural+Urban"/>
    <x v="3"/>
    <x v="0"/>
    <n v="144.9"/>
    <n v="190.1"/>
    <n v="175.3"/>
    <n v="154.1"/>
    <n v="150.9"/>
    <n v="149.6"/>
    <n v="194.2"/>
    <n v="160.4"/>
    <n v="114.6"/>
    <n v="164"/>
    <n v="151.80000000000001"/>
    <n v="165.6"/>
    <n v="161"/>
    <n v="155.5"/>
    <n v="146.1"/>
    <n v="154.19999999999999"/>
    <n v="147.9"/>
    <n v="159.30000000000001"/>
    <n v="141.9"/>
    <n v="159.19999999999999"/>
    <n v="157.03"/>
    <n v="-8.0540728340861359E-3"/>
  </r>
  <r>
    <s v="Rural+Urban"/>
    <x v="3"/>
    <x v="1"/>
    <n v="144.30000000000001"/>
    <n v="186.5"/>
    <n v="168.7"/>
    <n v="154.69999999999999"/>
    <n v="158.69999999999999"/>
    <n v="150.69999999999999"/>
    <n v="160"/>
    <n v="158.80000000000001"/>
    <n v="112.8"/>
    <n v="164.2"/>
    <n v="155.5"/>
    <n v="167.5"/>
    <n v="156.9"/>
    <n v="157.19999999999999"/>
    <n v="147.4"/>
    <n v="155.80000000000001"/>
    <n v="152.4"/>
    <n v="161.30000000000001"/>
    <n v="145.1"/>
    <n v="159.5"/>
    <n v="155.90000000000003"/>
    <n v="-7.1960771827037319E-3"/>
  </r>
  <r>
    <s v="Rural+Urban"/>
    <x v="3"/>
    <x v="2"/>
    <n v="144.1"/>
    <n v="192.2"/>
    <n v="163.80000000000001"/>
    <n v="154.9"/>
    <n v="163.9"/>
    <n v="153.69999999999999"/>
    <n v="149.5"/>
    <n v="159.80000000000001"/>
    <n v="112.6"/>
    <n v="163.5"/>
    <n v="156.5"/>
    <n v="168.2"/>
    <n v="156.69999999999999"/>
    <n v="157.80000000000001"/>
    <n v="147.9"/>
    <n v="156.4"/>
    <n v="155.5"/>
    <n v="161.69999999999999"/>
    <n v="146.19999999999999"/>
    <n v="160.19999999999999"/>
    <n v="156.25499999999997"/>
    <n v="2.2771007055800694E-3"/>
  </r>
  <r>
    <s v="Rural+Urban"/>
    <x v="3"/>
    <x v="3"/>
    <n v="144.30000000000001"/>
    <n v="198"/>
    <n v="164.6"/>
    <n v="155.4"/>
    <n v="170.1"/>
    <n v="164.4"/>
    <n v="144.1"/>
    <n v="161.69999999999999"/>
    <n v="113.1"/>
    <n v="163.9"/>
    <n v="157.6"/>
    <n v="168.9"/>
    <n v="158"/>
    <n v="158.80000000000001"/>
    <n v="148.5"/>
    <n v="157.30000000000001"/>
    <n v="155.6"/>
    <n v="162.30000000000001"/>
    <n v="146.6"/>
    <n v="160.30000000000001"/>
    <n v="157.67500000000001"/>
    <n v="9.0877091933060997E-3"/>
  </r>
  <r>
    <s v="Rural+Urban"/>
    <x v="3"/>
    <x v="4"/>
    <n v="146.30000000000001"/>
    <n v="200.5"/>
    <n v="170.3"/>
    <n v="156.1"/>
    <n v="178.7"/>
    <n v="167.1"/>
    <n v="147.9"/>
    <n v="165.4"/>
    <n v="114.8"/>
    <n v="168.2"/>
    <n v="159.30000000000001"/>
    <n v="170.4"/>
    <n v="160.69999999999999"/>
    <n v="161.80000000000001"/>
    <n v="152.1"/>
    <n v="160.4"/>
    <n v="159.4"/>
    <n v="165.8"/>
    <n v="148.9"/>
    <n v="161.19999999999999"/>
    <n v="160.76500000000004"/>
    <n v="1.9597272871412916E-2"/>
  </r>
  <r>
    <s v="Rural+Urban"/>
    <x v="3"/>
    <x v="5"/>
    <n v="146.69999999999999"/>
    <n v="202"/>
    <n v="180.7"/>
    <n v="156.19999999999999"/>
    <n v="183.7"/>
    <n v="164.6"/>
    <n v="155.4"/>
    <n v="166"/>
    <n v="115.1"/>
    <n v="168.5"/>
    <n v="160"/>
    <n v="172.4"/>
    <n v="162.6"/>
    <n v="162.19999999999999"/>
    <n v="151.80000000000001"/>
    <n v="160.69999999999999"/>
    <n v="159.80000000000001"/>
    <n v="166.3"/>
    <n v="150.69999999999999"/>
    <n v="161.69999999999999"/>
    <n v="162.35499999999999"/>
    <n v="9.8902124218576571E-3"/>
  </r>
  <r>
    <s v="Rural+Urban"/>
    <x v="3"/>
    <x v="6"/>
    <n v="146.4"/>
    <n v="206.8"/>
    <n v="182.2"/>
    <n v="157.5"/>
    <n v="182.1"/>
    <n v="163.9"/>
    <n v="164.2"/>
    <n v="164"/>
    <n v="114.5"/>
    <n v="168.3"/>
    <n v="160.9"/>
    <n v="172.2"/>
    <n v="164"/>
    <n v="162.80000000000001"/>
    <n v="153.1"/>
    <n v="161.4"/>
    <n v="160.69999999999999"/>
    <n v="167"/>
    <n v="153.1"/>
    <n v="163.19999999999999"/>
    <n v="163.41499999999999"/>
    <n v="6.5289027131902461E-3"/>
  </r>
  <r>
    <s v="Rural+Urban"/>
    <x v="3"/>
    <x v="7"/>
    <n v="146.6"/>
    <n v="204"/>
    <n v="172.8"/>
    <n v="158.4"/>
    <n v="188"/>
    <n v="156.80000000000001"/>
    <n v="162.19999999999999"/>
    <n v="164.1"/>
    <n v="119.7"/>
    <n v="168.8"/>
    <n v="162.69999999999999"/>
    <n v="173.9"/>
    <n v="164"/>
    <n v="164.5"/>
    <n v="155.30000000000001"/>
    <n v="163.19999999999999"/>
    <n v="162.6"/>
    <n v="168.4"/>
    <n v="154"/>
    <n v="163.80000000000001"/>
    <n v="163.69"/>
    <n v="1.6828320533611094E-3"/>
  </r>
  <r>
    <s v="Rural+Urban"/>
    <x v="3"/>
    <x v="8"/>
    <n v="146.6"/>
    <n v="204"/>
    <n v="172.8"/>
    <n v="158.4"/>
    <n v="188"/>
    <n v="156.69999999999999"/>
    <n v="162.30000000000001"/>
    <n v="164.1"/>
    <n v="119.7"/>
    <n v="168.8"/>
    <n v="162.69999999999999"/>
    <n v="173.9"/>
    <n v="164"/>
    <n v="164.6"/>
    <n v="155.30000000000001"/>
    <n v="163.30000000000001"/>
    <n v="162.6"/>
    <n v="168.4"/>
    <n v="154"/>
    <n v="163.69999999999999"/>
    <n v="163.69499999999999"/>
    <n v="3.0545543405189396E-5"/>
  </r>
  <r>
    <s v="Rural+Urban"/>
    <x v="3"/>
    <x v="9"/>
    <n v="147.4"/>
    <n v="204.6"/>
    <n v="171.2"/>
    <n v="158.69999999999999"/>
    <n v="190.6"/>
    <n v="155.69999999999999"/>
    <n v="185.3"/>
    <n v="165.2"/>
    <n v="121.9"/>
    <n v="169.3"/>
    <n v="163.19999999999999"/>
    <n v="174.7"/>
    <n v="167.7"/>
    <n v="165.7"/>
    <n v="156.30000000000001"/>
    <n v="164.3"/>
    <n v="164.2"/>
    <n v="169.1"/>
    <n v="155.69999999999999"/>
    <n v="163.9"/>
    <n v="165.73499999999999"/>
    <n v="1.2462201044625627E-2"/>
  </r>
  <r>
    <s v="Rural+Urban"/>
    <x v="3"/>
    <x v="10"/>
    <n v="148.19999999999999"/>
    <n v="201.6"/>
    <n v="173"/>
    <n v="159.30000000000001"/>
    <n v="190.1"/>
    <n v="156.5"/>
    <n v="199.2"/>
    <n v="165.3"/>
    <n v="122.4"/>
    <n v="169.6"/>
    <n v="163.69999999999999"/>
    <n v="175.5"/>
    <n v="169.7"/>
    <n v="167.2"/>
    <n v="157.4"/>
    <n v="165.8"/>
    <n v="163.9"/>
    <n v="169.9"/>
    <n v="154.80000000000001"/>
    <n v="164.3"/>
    <n v="166.87000000000003"/>
    <n v="6.8482818957977965E-3"/>
  </r>
  <r>
    <s v="Rural+Urban"/>
    <x v="3"/>
    <x v="11"/>
    <n v="148.69999999999999"/>
    <n v="198.8"/>
    <n v="177.9"/>
    <n v="159.9"/>
    <n v="187.6"/>
    <n v="154.9"/>
    <n v="188.3"/>
    <n v="164.4"/>
    <n v="121"/>
    <n v="170.5"/>
    <n v="164.2"/>
    <n v="176.5"/>
    <n v="168.2"/>
    <n v="168.5"/>
    <n v="158.69999999999999"/>
    <n v="167"/>
    <n v="164.1"/>
    <n v="170.6"/>
    <n v="155.69999999999999"/>
    <n v="164.4"/>
    <n v="166.49499999999998"/>
    <n v="-2.2472583448196605E-3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s v="Rural+Urban"/>
    <x v="0"/>
    <x v="0"/>
    <n v="136"/>
    <n v="144.19999999999999"/>
    <n v="143.69999999999999"/>
    <n v="141.1"/>
    <n v="120.7"/>
    <n v="141.30000000000001"/>
    <n v="151.6"/>
    <n v="127.3"/>
    <n v="118.8"/>
    <n v="137.5"/>
    <n v="129"/>
    <n v="149.5"/>
    <n v="139.19999999999999"/>
    <n v="143.5"/>
    <n v="135.5"/>
    <n v="142.30000000000001"/>
    <n v="136.6"/>
    <n v="133.30000000000001"/>
    <n v="119.3"/>
    <n v="139"/>
    <n v="136.47000000000003"/>
    <n v="0"/>
  </r>
  <r>
    <s v="Rural+Urban"/>
    <x v="0"/>
    <x v="1"/>
    <n v="135.9"/>
    <n v="143.5"/>
    <n v="140.30000000000001"/>
    <n v="140.9"/>
    <n v="120.4"/>
    <n v="142.9"/>
    <n v="140.5"/>
    <n v="125.8"/>
    <n v="117.1"/>
    <n v="137.30000000000001"/>
    <n v="128.6"/>
    <n v="149.6"/>
    <n v="137.6"/>
    <n v="143.80000000000001"/>
    <n v="135.6"/>
    <n v="142.6"/>
    <n v="136.69999999999999"/>
    <n v="133.80000000000001"/>
    <n v="120.2"/>
    <n v="139"/>
    <n v="135.60499999999996"/>
    <n v="-6.3383893896099197E-3"/>
  </r>
  <r>
    <s v="Rural+Urban"/>
    <x v="0"/>
    <x v="2"/>
    <n v="136.19999999999999"/>
    <n v="143.6"/>
    <n v="138.30000000000001"/>
    <n v="141.19999999999999"/>
    <n v="120.7"/>
    <n v="146.19999999999999"/>
    <n v="134.6"/>
    <n v="124.6"/>
    <n v="116.1"/>
    <n v="137.80000000000001"/>
    <n v="129.1"/>
    <n v="150.4"/>
    <n v="137.19999999999999"/>
    <n v="144.30000000000001"/>
    <n v="136.19999999999999"/>
    <n v="143.1"/>
    <n v="136.5"/>
    <n v="134.30000000000001"/>
    <n v="121"/>
    <n v="139.80000000000001"/>
    <n v="135.56"/>
    <n v="-3.3184617086360447E-4"/>
  </r>
  <r>
    <s v="Rural+Urban"/>
    <x v="0"/>
    <x v="3"/>
    <n v="136.4"/>
    <n v="144.4"/>
    <n v="133.9"/>
    <n v="141.6"/>
    <n v="121"/>
    <n v="153.5"/>
    <n v="132.6"/>
    <n v="123.5"/>
    <n v="113.7"/>
    <n v="138.19999999999999"/>
    <n v="129.6"/>
    <n v="151.19999999999999"/>
    <n v="137.5"/>
    <n v="145.30000000000001"/>
    <n v="136.69999999999999"/>
    <n v="144"/>
    <n v="136.5"/>
    <n v="135.19999999999999"/>
    <n v="121.9"/>
    <n v="141.4"/>
    <n v="135.90500000000003"/>
    <n v="2.5449985246387375E-3"/>
  </r>
  <r>
    <s v="Rural+Urban"/>
    <x v="0"/>
    <x v="4"/>
    <n v="136.6"/>
    <n v="146.6"/>
    <n v="133.6"/>
    <n v="142.1"/>
    <n v="121"/>
    <n v="154.6"/>
    <n v="135.6"/>
    <n v="122.3"/>
    <n v="109.6"/>
    <n v="138.1"/>
    <n v="129.9"/>
    <n v="151.69999999999999"/>
    <n v="138.1"/>
    <n v="146"/>
    <n v="137.4"/>
    <n v="144.69999999999999"/>
    <n v="136.9"/>
    <n v="136"/>
    <n v="122.9"/>
    <n v="142.1"/>
    <n v="136.29000000000002"/>
    <n v="2.8328611898016322E-3"/>
  </r>
  <r>
    <s v="Rural+Urban"/>
    <x v="0"/>
    <x v="5"/>
    <n v="136.9"/>
    <n v="148.69999999999999"/>
    <n v="135.6"/>
    <n v="142.30000000000001"/>
    <n v="121.3"/>
    <n v="153.19999999999999"/>
    <n v="143.69999999999999"/>
    <n v="121.4"/>
    <n v="111.1"/>
    <n v="138.4"/>
    <n v="130.30000000000001"/>
    <n v="151.80000000000001"/>
    <n v="139.4"/>
    <n v="146.4"/>
    <n v="138.1"/>
    <n v="145.19999999999999"/>
    <n v="138.1"/>
    <n v="136.19999999999999"/>
    <n v="123.7"/>
    <n v="142.80000000000001"/>
    <n v="137.22999999999999"/>
    <n v="6.8970577445151456E-3"/>
  </r>
  <r>
    <s v="Rural+Urban"/>
    <x v="0"/>
    <x v="6"/>
    <n v="137.5"/>
    <n v="149.1"/>
    <n v="139.19999999999999"/>
    <n v="142.5"/>
    <n v="121.4"/>
    <n v="151.6"/>
    <n v="155.9"/>
    <n v="121.7"/>
    <n v="113.5"/>
    <n v="138.9"/>
    <n v="130.30000000000001"/>
    <n v="152.30000000000001"/>
    <n v="141.4"/>
    <n v="146.80000000000001"/>
    <n v="138.4"/>
    <n v="145.6"/>
    <n v="139.69999999999999"/>
    <n v="137"/>
    <n v="123.6"/>
    <n v="144.69999999999999"/>
    <n v="138.55499999999998"/>
    <n v="9.6553231800625867E-3"/>
  </r>
  <r>
    <s v="Rural+Urban"/>
    <x v="0"/>
    <x v="7"/>
    <n v="138.30000000000001"/>
    <n v="148"/>
    <n v="138.1"/>
    <n v="142.6"/>
    <n v="122.2"/>
    <n v="150.6"/>
    <n v="156.6"/>
    <n v="122.4"/>
    <n v="114.7"/>
    <n v="139.4"/>
    <n v="131.1"/>
    <n v="153"/>
    <n v="141.69999999999999"/>
    <n v="147.30000000000001"/>
    <n v="138.80000000000001"/>
    <n v="146.1"/>
    <n v="140.9"/>
    <n v="137.69999999999999"/>
    <n v="124.3"/>
    <n v="146"/>
    <n v="138.99"/>
    <n v="3.1395474721232059E-3"/>
  </r>
  <r>
    <s v="Rural+Urban"/>
    <x v="0"/>
    <x v="8"/>
    <n v="138.6"/>
    <n v="145.80000000000001"/>
    <n v="135.1"/>
    <n v="142.9"/>
    <n v="122.1"/>
    <n v="145.4"/>
    <n v="150"/>
    <n v="121.4"/>
    <n v="113.7"/>
    <n v="139.5"/>
    <n v="130.80000000000001"/>
    <n v="153.80000000000001"/>
    <n v="140.4"/>
    <n v="147.69999999999999"/>
    <n v="139.1"/>
    <n v="146.5"/>
    <n v="142.30000000000001"/>
    <n v="138.4"/>
    <n v="126"/>
    <n v="146.19999999999999"/>
    <n v="138.28500000000003"/>
    <n v="-5.0723073602416289E-3"/>
  </r>
  <r>
    <s v="Rural+Urban"/>
    <x v="0"/>
    <x v="9"/>
    <n v="137.4"/>
    <n v="149.5"/>
    <n v="137.30000000000001"/>
    <n v="141.9"/>
    <n v="121.1"/>
    <n v="142.5"/>
    <n v="146.69999999999999"/>
    <n v="119.1"/>
    <n v="111.9"/>
    <n v="141"/>
    <n v="133.6"/>
    <n v="154.5"/>
    <n v="139.69999999999999"/>
    <n v="148"/>
    <n v="139.19999999999999"/>
    <n v="146.80000000000001"/>
    <n v="145.30000000000001"/>
    <n v="142.1"/>
    <n v="125.5"/>
    <n v="147.80000000000001"/>
    <n v="138.54500000000002"/>
    <n v="1.8801750009038642E-3"/>
  </r>
  <r>
    <s v="Rural+Urban"/>
    <x v="0"/>
    <x v="10"/>
    <n v="137.4"/>
    <n v="149.19999999999999"/>
    <n v="137.1"/>
    <n v="141.80000000000001"/>
    <n v="121.1"/>
    <n v="142.80000000000001"/>
    <n v="146.69999999999999"/>
    <n v="119.1"/>
    <n v="111.9"/>
    <n v="140.9"/>
    <n v="133.5"/>
    <n v="154.5"/>
    <n v="139.69999999999999"/>
    <n v="148"/>
    <n v="139.1"/>
    <n v="146.69999999999999"/>
    <n v="145.1"/>
    <n v="142.1"/>
    <n v="125.5"/>
    <n v="147.80000000000001"/>
    <n v="138.5"/>
    <n v="-3.2480421523704145E-4"/>
  </r>
  <r>
    <s v="Rural+Urban"/>
    <x v="0"/>
    <x v="11"/>
    <n v="137.5"/>
    <n v="150.5"/>
    <n v="138.80000000000001"/>
    <n v="142.1"/>
    <n v="122"/>
    <n v="139.4"/>
    <n v="135.19999999999999"/>
    <n v="119.8"/>
    <n v="110.3"/>
    <n v="140.6"/>
    <n v="133.80000000000001"/>
    <n v="154.6"/>
    <n v="138.19999999999999"/>
    <n v="148.1"/>
    <n v="139.4"/>
    <n v="146.80000000000001"/>
    <n v="142.69999999999999"/>
    <n v="144.9"/>
    <n v="123.6"/>
    <n v="150.1"/>
    <n v="137.91999999999999"/>
    <n v="-4.1877256317690431E-3"/>
  </r>
  <r>
    <s v="Rural+Urban"/>
    <x v="1"/>
    <x v="0"/>
    <n v="137.1"/>
    <n v="151.4"/>
    <n v="140.19999999999999"/>
    <n v="142.1"/>
    <n v="121.8"/>
    <n v="135.4"/>
    <n v="131.30000000000001"/>
    <n v="120.3"/>
    <n v="109.1"/>
    <n v="139.4"/>
    <n v="133.30000000000001"/>
    <n v="154.6"/>
    <n v="137.4"/>
    <n v="147.6"/>
    <n v="139"/>
    <n v="146.4"/>
    <n v="139.5"/>
    <n v="145.1"/>
    <n v="123.3"/>
    <n v="150.19999999999999"/>
    <n v="137.22499999999997"/>
    <n v="-5.0391531322507375E-3"/>
  </r>
  <r>
    <s v="Rural+Urban"/>
    <x v="1"/>
    <x v="1"/>
    <n v="137.6"/>
    <n v="152"/>
    <n v="141.5"/>
    <n v="142.19999999999999"/>
    <n v="122"/>
    <n v="136.4"/>
    <n v="129.69999999999999"/>
    <n v="121"/>
    <n v="109"/>
    <n v="139.69999999999999"/>
    <n v="133.6"/>
    <n v="154.9"/>
    <n v="137.5"/>
    <n v="147.69999999999999"/>
    <n v="139.69999999999999"/>
    <n v="146.5"/>
    <n v="138.4"/>
    <n v="145.6"/>
    <n v="123.9"/>
    <n v="150.30000000000001"/>
    <n v="137.46"/>
    <n v="1.7125159409731618E-3"/>
  </r>
  <r>
    <s v="Rural+Urban"/>
    <x v="1"/>
    <x v="2"/>
    <n v="137.80000000000001"/>
    <n v="153"/>
    <n v="140.30000000000001"/>
    <n v="142.30000000000001"/>
    <n v="122"/>
    <n v="137.6"/>
    <n v="132.6"/>
    <n v="121.8"/>
    <n v="109"/>
    <n v="139.5"/>
    <n v="133.69999999999999"/>
    <n v="155.19999999999999"/>
    <n v="138.1"/>
    <n v="147.9"/>
    <n v="139.9"/>
    <n v="146.69999999999999"/>
    <n v="139.69999999999999"/>
    <n v="146.19999999999999"/>
    <n v="124.6"/>
    <n v="150.30000000000001"/>
    <n v="137.91"/>
    <n v="3.2736796158881754E-3"/>
  </r>
  <r>
    <s v="Rural+Urban"/>
    <x v="1"/>
    <x v="4"/>
    <n v="138.30000000000001"/>
    <n v="158.5"/>
    <n v="136"/>
    <n v="142.5"/>
    <n v="122"/>
    <n v="146.5"/>
    <n v="143"/>
    <n v="124.9"/>
    <n v="109.9"/>
    <n v="139.9"/>
    <n v="134"/>
    <n v="155.5"/>
    <n v="140.9"/>
    <n v="148.4"/>
    <n v="140.4"/>
    <n v="147.30000000000001"/>
    <n v="140.30000000000001"/>
    <n v="146.9"/>
    <n v="124.9"/>
    <n v="151.6"/>
    <n v="139.58500000000004"/>
    <n v="1.2145602204336451E-2"/>
  </r>
  <r>
    <s v="Rural+Urban"/>
    <x v="1"/>
    <x v="5"/>
    <n v="138.69999999999999"/>
    <n v="162.1"/>
    <n v="137.80000000000001"/>
    <n v="143.30000000000001"/>
    <n v="122.2"/>
    <n v="146.80000000000001"/>
    <n v="150.5"/>
    <n v="128.30000000000001"/>
    <n v="111"/>
    <n v="140.6"/>
    <n v="134.19999999999999"/>
    <n v="155.9"/>
    <n v="142.69999999999999"/>
    <n v="148.6"/>
    <n v="140.4"/>
    <n v="147.4"/>
    <n v="141.19999999999999"/>
    <n v="147.4"/>
    <n v="124.6"/>
    <n v="152.5"/>
    <n v="140.81"/>
    <n v="8.7760146147506223E-3"/>
  </r>
  <r>
    <s v="Rural+Urban"/>
    <x v="1"/>
    <x v="6"/>
    <n v="139.30000000000001"/>
    <n v="162.69999999999999"/>
    <n v="140"/>
    <n v="144"/>
    <n v="122.5"/>
    <n v="150.30000000000001"/>
    <n v="160.30000000000001"/>
    <n v="130"/>
    <n v="111.1"/>
    <n v="141.69999999999999"/>
    <n v="134.69999999999999"/>
    <n v="156.19999999999999"/>
    <n v="144.69999999999999"/>
    <n v="148.9"/>
    <n v="140.5"/>
    <n v="147.6"/>
    <n v="139.30000000000001"/>
    <n v="147.9"/>
    <n v="125.6"/>
    <n v="154"/>
    <n v="142.065"/>
    <n v="8.9127192670974756E-3"/>
  </r>
  <r>
    <s v="Rural+Urban"/>
    <x v="1"/>
    <x v="7"/>
    <n v="140.1"/>
    <n v="160.6"/>
    <n v="138.5"/>
    <n v="144.69999999999999"/>
    <n v="122.9"/>
    <n v="149.4"/>
    <n v="167.4"/>
    <n v="130.9"/>
    <n v="112"/>
    <n v="142.6"/>
    <n v="134.9"/>
    <n v="156.6"/>
    <n v="145.9"/>
    <n v="149.1"/>
    <n v="140.6"/>
    <n v="147.9"/>
    <n v="138.5"/>
    <n v="148.5"/>
    <n v="125.8"/>
    <n v="154.9"/>
    <n v="142.59"/>
    <n v="3.695491500369589E-3"/>
  </r>
  <r>
    <s v="Rural+Urban"/>
    <x v="1"/>
    <x v="8"/>
    <n v="140.9"/>
    <n v="160.80000000000001"/>
    <n v="139.6"/>
    <n v="145.4"/>
    <n v="123.5"/>
    <n v="146.6"/>
    <n v="173.2"/>
    <n v="131.6"/>
    <n v="113.2"/>
    <n v="144.1"/>
    <n v="135"/>
    <n v="156.80000000000001"/>
    <n v="147"/>
    <n v="149.19999999999999"/>
    <n v="140.6"/>
    <n v="147.9"/>
    <n v="139.19999999999999"/>
    <n v="149"/>
    <n v="126.1"/>
    <n v="155.19999999999999"/>
    <n v="143.24499999999998"/>
    <n v="4.5935900133247266E-3"/>
  </r>
  <r>
    <s v="Rural+Urban"/>
    <x v="1"/>
    <x v="9"/>
    <n v="141.80000000000001"/>
    <n v="161"/>
    <n v="142.6"/>
    <n v="146.19999999999999"/>
    <n v="123.9"/>
    <n v="148"/>
    <n v="188.4"/>
    <n v="132.5"/>
    <n v="114"/>
    <n v="145.4"/>
    <n v="135.1"/>
    <n v="157.1"/>
    <n v="149.6"/>
    <n v="149.4"/>
    <n v="140.80000000000001"/>
    <n v="148.19999999999999"/>
    <n v="140.6"/>
    <n v="149.4"/>
    <n v="126.3"/>
    <n v="155.4"/>
    <n v="144.785"/>
    <n v="1.0750811546650987E-2"/>
  </r>
  <r>
    <s v="Rural+Urban"/>
    <x v="1"/>
    <x v="10"/>
    <n v="142.5"/>
    <n v="163.19999999999999"/>
    <n v="145.6"/>
    <n v="146.69999999999999"/>
    <n v="124.3"/>
    <n v="147.4"/>
    <n v="199.6"/>
    <n v="135.69999999999999"/>
    <n v="114.2"/>
    <n v="147"/>
    <n v="135.30000000000001"/>
    <n v="157.5"/>
    <n v="151.9"/>
    <n v="149.9"/>
    <n v="141"/>
    <n v="148.6"/>
    <n v="142.30000000000001"/>
    <n v="149.9"/>
    <n v="126.6"/>
    <n v="155.5"/>
    <n v="146.23500000000001"/>
    <n v="1.0014849604586229E-2"/>
  </r>
  <r>
    <s v="Rural+Urban"/>
    <x v="1"/>
    <x v="11"/>
    <n v="143.5"/>
    <n v="165"/>
    <n v="151.1"/>
    <n v="148.30000000000001"/>
    <n v="125.7"/>
    <n v="145.69999999999999"/>
    <n v="217"/>
    <n v="138.30000000000001"/>
    <n v="114"/>
    <n v="148.69999999999999"/>
    <n v="135.80000000000001"/>
    <n v="158"/>
    <n v="155"/>
    <n v="150.30000000000001"/>
    <n v="141.30000000000001"/>
    <n v="149"/>
    <n v="143.69999999999999"/>
    <n v="150.4"/>
    <n v="129.80000000000001"/>
    <n v="155.69999999999999"/>
    <n v="148.315"/>
    <n v="1.4223681061305322E-2"/>
  </r>
  <r>
    <s v="Rural+Urban"/>
    <x v="2"/>
    <x v="0"/>
    <n v="144.30000000000001"/>
    <n v="167.4"/>
    <n v="154.9"/>
    <n v="150.1"/>
    <n v="129.9"/>
    <n v="143.19999999999999"/>
    <n v="197"/>
    <n v="140.4"/>
    <n v="114.1"/>
    <n v="150.9"/>
    <n v="136.1"/>
    <n v="158.6"/>
    <n v="153.5"/>
    <n v="150.5"/>
    <n v="141.5"/>
    <n v="149.19999999999999"/>
    <n v="144.6"/>
    <n v="151.19999999999999"/>
    <n v="130.9"/>
    <n v="156.1"/>
    <n v="148.21999999999997"/>
    <n v="-6.4052860465918678E-4"/>
  </r>
  <r>
    <s v="Rural+Urban"/>
    <x v="2"/>
    <x v="1"/>
    <n v="144.80000000000001"/>
    <n v="167.5"/>
    <n v="151.80000000000001"/>
    <n v="150.80000000000001"/>
    <n v="131.4"/>
    <n v="141.80000000000001"/>
    <n v="170.7"/>
    <n v="141.1"/>
    <n v="113.6"/>
    <n v="152"/>
    <n v="136.5"/>
    <n v="159.1"/>
    <n v="150.5"/>
    <n v="150.80000000000001"/>
    <n v="141.69999999999999"/>
    <n v="149.5"/>
    <n v="147.19999999999999"/>
    <n v="151.69999999999999"/>
    <n v="130.30000000000001"/>
    <n v="156.19999999999999"/>
    <n v="146.94999999999999"/>
    <n v="-8.5683443529886803E-3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n v="63.396976500000008"/>
    <n v="0"/>
  </r>
  <r>
    <x v="0"/>
    <x v="1"/>
    <n v="66.953084852941174"/>
    <n v="5.6092712133380143E-2"/>
  </r>
  <r>
    <x v="0"/>
    <x v="2"/>
    <n v="71.982647477272721"/>
    <n v="7.512070034381102E-2"/>
  </r>
  <r>
    <x v="0"/>
    <x v="3"/>
    <n v="73.539060523809511"/>
    <n v="2.1622058941749817E-2"/>
  </r>
  <r>
    <x v="0"/>
    <x v="4"/>
    <n v="69.804724424999989"/>
    <n v="-5.078030739324535E-2"/>
  </r>
  <r>
    <x v="0"/>
    <x v="5"/>
    <n v="73.130738295454549"/>
    <n v="4.7647403493843964E-2"/>
  </r>
  <r>
    <x v="0"/>
    <x v="6"/>
    <n v="82.107393785714294"/>
    <n v="0.122748049582014"/>
  </r>
  <r>
    <x v="0"/>
    <x v="7"/>
    <n v="80.637301023809528"/>
    <n v="-1.7904511325026917E-2"/>
  </r>
  <r>
    <x v="0"/>
    <x v="8"/>
    <n v="73.298823523809531"/>
    <n v="-9.1005991108670498E-2"/>
  </r>
  <r>
    <x v="1"/>
    <x v="9"/>
    <n v="84.666318799999985"/>
    <n v="0.15508428007030658"/>
  </r>
  <r>
    <x v="1"/>
    <x v="10"/>
    <n v="94.067715194444446"/>
    <n v="0.11104057112312367"/>
  </r>
  <r>
    <x v="1"/>
    <x v="11"/>
    <n v="112.87479254347826"/>
    <n v="0.19993126557988886"/>
  </r>
  <r>
    <x v="1"/>
    <x v="0"/>
    <n v="102.96599786842103"/>
    <n v="-8.7785717712309114E-2"/>
  </r>
  <r>
    <x v="1"/>
    <x v="1"/>
    <n v="109.50503773684208"/>
    <n v="6.3506788685496113E-2"/>
  </r>
  <r>
    <x v="1"/>
    <x v="2"/>
    <n v="116.01138504999999"/>
    <n v="5.9415963389681525E-2"/>
  </r>
  <r>
    <x v="1"/>
    <x v="3"/>
    <n v="105.49124737500001"/>
    <n v="-9.0681941866876919E-2"/>
  </r>
  <r>
    <x v="1"/>
    <x v="4"/>
    <n v="97.404465428571427"/>
    <n v="-7.6658321402549315E-2"/>
  </r>
  <r>
    <x v="1"/>
    <x v="5"/>
    <n v="90.706344809523813"/>
    <n v="-6.8766052866020555E-2"/>
  </r>
  <r>
    <x v="1"/>
    <x v="6"/>
    <n v="91.698948700000003"/>
    <n v="1.0943048058662044E-2"/>
  </r>
  <r>
    <x v="1"/>
    <x v="7"/>
    <n v="87.552266068181822"/>
    <n v="-4.5220612565410795E-2"/>
  </r>
  <r>
    <x v="1"/>
    <x v="8"/>
    <n v="78.100942275000008"/>
    <n v="-0.1079506472833215"/>
  </r>
  <r>
    <x v="2"/>
    <x v="9"/>
    <n v="80.922269684210534"/>
    <n v="3.6124114857364886E-2"/>
  </r>
  <r>
    <x v="2"/>
    <x v="10"/>
    <n v="82.278706675000009"/>
    <n v="1.676222127830582E-2"/>
  </r>
  <r>
    <x v="2"/>
    <x v="11"/>
    <n v="78.539480282608693"/>
    <n v="-4.5445857664744529E-2"/>
  </r>
  <r>
    <x v="2"/>
    <x v="0"/>
    <n v="83.755358416666667"/>
    <n v="6.6410907167830421E-2"/>
  </r>
  <r>
    <x v="2"/>
    <x v="1"/>
    <n v="74.981547824999993"/>
    <n v="-0.10475521515911457"/>
  </r>
  <r>
    <x v="2"/>
    <x v="2"/>
    <n v="74.928252024999992"/>
    <n v="-7.1078554052242632E-4"/>
  </r>
  <r>
    <x v="2"/>
    <x v="3"/>
    <n v="80.368492428571415"/>
    <n v="7.2605996490566385E-2"/>
  </r>
  <r>
    <x v="2"/>
    <x v="4"/>
    <n v="86.426703761904761"/>
    <n v="7.5380427705766209E-2"/>
  </r>
  <r>
    <x v="2"/>
    <x v="5"/>
    <n v="93.539339400000003"/>
    <n v="8.2296736176468127E-2"/>
  </r>
  <r>
    <x v="2"/>
    <x v="6"/>
    <n v="90.080343022727263"/>
    <n v="-3.6979055010011544E-2"/>
  </r>
  <r>
    <x v="2"/>
    <x v="7"/>
    <n v="83.455368214285699"/>
    <n v="-7.3545177406463519E-2"/>
  </r>
  <r>
    <x v="2"/>
    <x v="8"/>
    <n v="77.419721631578938"/>
    <n v="-7.2321849532905103E-2"/>
  </r>
  <r>
    <x v="3"/>
    <x v="9"/>
    <n v="79.216541545454547"/>
    <n v="2.3208813930205342E-2"/>
  </r>
  <r>
    <x v="3"/>
    <x v="10"/>
    <n v="81.621881399999992"/>
    <n v="3.0364110924550509E-2"/>
  </r>
  <r>
    <x v="3"/>
    <x v="11"/>
    <n v="84.486883150000011"/>
    <n v="3.510090310170208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663DDD-EAF6-4BEC-81EB-DBE3E245763E}" name="PivotTable1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51:B92" firstHeaderRow="1" firstDataRow="1" firstDataCol="1"/>
  <pivotFields count="7">
    <pivotField axis="axisRow" showAll="0">
      <items count="5">
        <item x="0"/>
        <item x="1"/>
        <item x="2"/>
        <item x="3"/>
        <item t="default"/>
      </items>
    </pivotField>
    <pivotField numFmtId="165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4" showAll="0"/>
    <pivotField dataField="1" numFmtId="10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2">
    <field x="0"/>
    <field x="4"/>
  </rowFields>
  <rowItems count="41">
    <i>
      <x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t="grand">
      <x/>
    </i>
  </rowItems>
  <colItems count="1">
    <i/>
  </colItems>
  <dataFields count="1">
    <dataField name="%Change Mom" fld="3" baseField="4" baseItem="4" numFmtId="10"/>
  </dataFields>
  <chartFormats count="5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2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6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7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11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9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6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9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2"/>
          </reference>
        </references>
      </pivotArea>
    </chartFormat>
    <chartFormat chart="3" format="2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4"/>
          </reference>
        </references>
      </pivotArea>
    </chartFormat>
    <chartFormat chart="3" format="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8"/>
          </reference>
        </references>
      </pivotArea>
    </chartFormat>
    <chartFormat chart="3" format="4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12"/>
          </reference>
        </references>
      </pivotArea>
    </chartFormat>
    <chartFormat chart="3" format="5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4"/>
          </reference>
        </references>
      </pivotArea>
    </chartFormat>
    <chartFormat chart="3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7"/>
          </reference>
        </references>
      </pivotArea>
    </chartFormat>
    <chartFormat chart="3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12"/>
          </reference>
        </references>
      </pivotArea>
    </chartFormat>
    <chartFormat chart="3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5"/>
          </reference>
        </references>
      </pivotArea>
    </chartFormat>
    <chartFormat chart="3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12"/>
          </reference>
        </references>
      </pivotArea>
    </chartFormat>
    <chartFormat chart="3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11"/>
          </reference>
        </references>
      </pivotArea>
    </chartFormat>
    <chartFormat chart="3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2"/>
          </reference>
        </references>
      </pivotArea>
    </chartFormat>
    <chartFormat chart="3" format="12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10"/>
          </reference>
        </references>
      </pivotArea>
    </chartFormat>
    <chartFormat chart="3" format="13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6"/>
          </reference>
        </references>
      </pivotArea>
    </chartFormat>
    <chartFormat chart="3" format="14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8"/>
          </reference>
        </references>
      </pivotArea>
    </chartFormat>
    <chartFormat chart="3" format="15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3"/>
          </reference>
        </references>
      </pivotArea>
    </chartFormat>
    <chartFormat chart="3" format="16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2"/>
          </reference>
        </references>
      </pivotArea>
    </chartFormat>
    <chartFormat chart="3" format="1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1"/>
          </reference>
        </references>
      </pivotArea>
    </chartFormat>
    <chartFormat chart="3" format="18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11"/>
          </reference>
        </references>
      </pivotArea>
    </chartFormat>
    <chartFormat chart="3" format="19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9"/>
          </reference>
        </references>
      </pivotArea>
    </chartFormat>
    <chartFormat chart="3" format="20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6"/>
          </reference>
        </references>
      </pivotArea>
    </chartFormat>
    <chartFormat chart="3" format="2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9"/>
          </reference>
        </references>
      </pivotArea>
    </chartFormat>
    <chartFormat chart="3" format="22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11"/>
          </reference>
        </references>
      </pivotArea>
    </chartFormat>
    <chartFormat chart="3" format="2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7"/>
          </reference>
        </references>
      </pivotArea>
    </chartFormat>
    <chartFormat chart="9" format="4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9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4"/>
          </reference>
        </references>
      </pivotArea>
    </chartFormat>
    <chartFormat chart="9" format="5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7"/>
          </reference>
        </references>
      </pivotArea>
    </chartFormat>
    <chartFormat chart="9" format="5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8"/>
          </reference>
        </references>
      </pivotArea>
    </chartFormat>
    <chartFormat chart="9" format="52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9"/>
          </reference>
        </references>
      </pivotArea>
    </chartFormat>
    <chartFormat chart="9" format="5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11"/>
          </reference>
        </references>
      </pivotArea>
    </chartFormat>
    <chartFormat chart="9" format="54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12"/>
          </reference>
        </references>
      </pivotArea>
    </chartFormat>
    <chartFormat chart="9" format="55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2"/>
          </reference>
        </references>
      </pivotArea>
    </chartFormat>
    <chartFormat chart="9" format="5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4"/>
          </reference>
        </references>
      </pivotArea>
    </chartFormat>
    <chartFormat chart="9" format="5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6"/>
          </reference>
        </references>
      </pivotArea>
    </chartFormat>
    <chartFormat chart="9" format="58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7"/>
          </reference>
        </references>
      </pivotArea>
    </chartFormat>
    <chartFormat chart="9" format="59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9"/>
          </reference>
        </references>
      </pivotArea>
    </chartFormat>
    <chartFormat chart="9" format="60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11"/>
          </reference>
        </references>
      </pivotArea>
    </chartFormat>
    <chartFormat chart="9" format="6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12"/>
          </reference>
        </references>
      </pivotArea>
    </chartFormat>
    <chartFormat chart="9" format="62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1"/>
          </reference>
        </references>
      </pivotArea>
    </chartFormat>
    <chartFormat chart="9" format="63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2"/>
          </reference>
        </references>
      </pivotArea>
    </chartFormat>
    <chartFormat chart="9" format="64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3"/>
          </reference>
        </references>
      </pivotArea>
    </chartFormat>
    <chartFormat chart="9" format="65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5"/>
          </reference>
        </references>
      </pivotArea>
    </chartFormat>
    <chartFormat chart="9" format="66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6"/>
          </reference>
        </references>
      </pivotArea>
    </chartFormat>
    <chartFormat chart="9" format="6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8"/>
          </reference>
        </references>
      </pivotArea>
    </chartFormat>
    <chartFormat chart="9" format="6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10"/>
          </reference>
        </references>
      </pivotArea>
    </chartFormat>
    <chartFormat chart="9" format="69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11"/>
          </reference>
        </references>
      </pivotArea>
    </chartFormat>
    <chartFormat chart="9" format="70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12"/>
          </reference>
        </references>
      </pivotArea>
    </chartFormat>
    <chartFormat chart="9" format="7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CC98F1-F9EF-499A-AA42-523BFBC6C2BC}" name="PivotTable1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148:B175" firstHeaderRow="1" firstDataRow="1" firstDataCol="1"/>
  <pivotFields count="25">
    <pivotField showAll="0"/>
    <pivotField axis="axisRow" showAll="0">
      <items count="5">
        <item h="1" x="0"/>
        <item h="1" x="1"/>
        <item x="2"/>
        <item x="3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dataField="1" numFmtId="10" showAll="0"/>
  </pivotFields>
  <rowFields count="2">
    <field x="1"/>
    <field x="2"/>
  </rowFields>
  <rowItems count="27"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%Change in Inflation" fld="24" baseField="1" baseItem="0" numFmtId="10"/>
  </dataFields>
  <chartFormats count="3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8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1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0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2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5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4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7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5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7"/>
          </reference>
        </references>
      </pivotArea>
    </chartFormat>
    <chartFormat chart="0" format="14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8"/>
          </reference>
        </references>
      </pivotArea>
    </chartFormat>
    <chartFormat chart="0" format="15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0"/>
          </reference>
        </references>
      </pivotArea>
    </chartFormat>
    <chartFormat chart="0" format="16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</references>
      </pivotArea>
    </chartFormat>
    <chartFormat chart="0" format="17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1"/>
          </reference>
        </references>
      </pivotArea>
    </chartFormat>
    <chartFormat chart="0" format="18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2"/>
          </reference>
        </references>
      </pivotArea>
    </chartFormat>
    <chartFormat chart="0" format="19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6"/>
          </reference>
        </references>
      </pivotArea>
    </chartFormat>
    <chartFormat chart="0" format="20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5"/>
          </reference>
        </references>
      </pivotArea>
    </chartFormat>
    <chartFormat chart="0" format="2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4"/>
          </reference>
        </references>
      </pivotArea>
    </chartFormat>
    <chartFormat chart="0" format="22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8"/>
          </reference>
        </references>
      </pivotArea>
    </chartFormat>
    <chartFormat chart="0" format="23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11"/>
          </reference>
        </references>
      </pivotArea>
    </chartFormat>
    <chartFormat chart="0" format="24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2"/>
          </reference>
        </references>
      </pivotArea>
    </chartFormat>
    <chartFormat chart="0" format="25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10"/>
          </reference>
        </references>
      </pivotArea>
    </chartFormat>
    <chartFormat chart="0" format="26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3"/>
          </reference>
        </references>
      </pivotArea>
    </chartFormat>
    <chartFormat chart="0" format="27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5"/>
          </reference>
        </references>
      </pivotArea>
    </chartFormat>
    <chartFormat chart="0" format="28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6"/>
          </reference>
        </references>
      </pivotArea>
    </chartFormat>
    <chartFormat chart="0" format="29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7"/>
          </reference>
        </references>
      </pivotArea>
    </chartFormat>
    <chartFormat chart="0" format="30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8"/>
          </reference>
        </references>
      </pivotArea>
    </chartFormat>
    <chartFormat chart="0" format="3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11"/>
          </reference>
        </references>
      </pivotArea>
    </chartFormat>
    <chartFormat chart="0" format="32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10"/>
          </reference>
        </references>
      </pivotArea>
    </chartFormat>
    <chartFormat chart="0" format="33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1"/>
          </reference>
        </references>
      </pivotArea>
    </chartFormat>
    <chartFormat chart="0" format="34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E98D81-DFFD-4A46-AFC7-57A15EC2842E}" name="PivotTable10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14:B143" firstHeaderRow="1" firstDataRow="1" firstDataCol="1"/>
  <pivotFields count="25"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dataField="1" numFmtId="10" showAll="0"/>
  </pivotFields>
  <rowFields count="2">
    <field x="1"/>
    <field x="2"/>
  </rowFields>
  <rowItems count="29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t="grand">
      <x/>
    </i>
  </rowItems>
  <colItems count="1">
    <i/>
  </colItems>
  <dataFields count="1">
    <dataField name="%Change in Inflation" fld="24" baseField="1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519363-9577-4C12-9D65-DBD0ED779C14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58:B110" firstHeaderRow="1" firstDataRow="1" firstDataCol="1"/>
  <pivotFields count="25">
    <pivotField showAll="0"/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dataField="1" numFmtId="10" showAll="0"/>
  </pivotFields>
  <rowFields count="2">
    <field x="1"/>
    <field x="2"/>
  </rowFields>
  <rowItems count="52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%Change in Inflation" fld="24" baseField="1" baseItem="0" numFmtId="10"/>
  </dataFields>
  <chartFormats count="7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8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1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0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2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5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4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7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5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7"/>
          </reference>
        </references>
      </pivotArea>
    </chartFormat>
    <chartFormat chart="0" format="14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8"/>
          </reference>
        </references>
      </pivotArea>
    </chartFormat>
    <chartFormat chart="0" format="15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0"/>
          </reference>
        </references>
      </pivotArea>
    </chartFormat>
    <chartFormat chart="0" format="16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</references>
      </pivotArea>
    </chartFormat>
    <chartFormat chart="0" format="17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1"/>
          </reference>
        </references>
      </pivotArea>
    </chartFormat>
    <chartFormat chart="0" format="18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2"/>
          </reference>
        </references>
      </pivotArea>
    </chartFormat>
    <chartFormat chart="0" format="19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6"/>
          </reference>
        </references>
      </pivotArea>
    </chartFormat>
    <chartFormat chart="0" format="20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5"/>
          </reference>
        </references>
      </pivotArea>
    </chartFormat>
    <chartFormat chart="0" format="2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4"/>
          </reference>
        </references>
      </pivotArea>
    </chartFormat>
    <chartFormat chart="0" format="22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8"/>
          </reference>
        </references>
      </pivotArea>
    </chartFormat>
    <chartFormat chart="0" format="23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11"/>
          </reference>
        </references>
      </pivotArea>
    </chartFormat>
    <chartFormat chart="0" format="24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2"/>
          </reference>
        </references>
      </pivotArea>
    </chartFormat>
    <chartFormat chart="0" format="25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10"/>
          </reference>
        </references>
      </pivotArea>
    </chartFormat>
    <chartFormat chart="0" format="26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3"/>
          </reference>
        </references>
      </pivotArea>
    </chartFormat>
    <chartFormat chart="0" format="27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5"/>
          </reference>
        </references>
      </pivotArea>
    </chartFormat>
    <chartFormat chart="0" format="28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6"/>
          </reference>
        </references>
      </pivotArea>
    </chartFormat>
    <chartFormat chart="0" format="29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7"/>
          </reference>
        </references>
      </pivotArea>
    </chartFormat>
    <chartFormat chart="0" format="30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8"/>
          </reference>
        </references>
      </pivotArea>
    </chartFormat>
    <chartFormat chart="0" format="3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11"/>
          </reference>
        </references>
      </pivotArea>
    </chartFormat>
    <chartFormat chart="0" format="32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10"/>
          </reference>
        </references>
      </pivotArea>
    </chartFormat>
    <chartFormat chart="0" format="33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1"/>
          </reference>
        </references>
      </pivotArea>
    </chartFormat>
    <chartFormat chart="0" format="34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0"/>
          </reference>
        </references>
      </pivotArea>
    </chartFormat>
    <chartFormat chart="11" format="7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</references>
      </pivotArea>
    </chartFormat>
    <chartFormat chart="11" format="72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"/>
          </reference>
        </references>
      </pivotArea>
    </chartFormat>
    <chartFormat chart="11" format="73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4"/>
          </reference>
        </references>
      </pivotArea>
    </chartFormat>
    <chartFormat chart="11" format="74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5"/>
          </reference>
        </references>
      </pivotArea>
    </chartFormat>
    <chartFormat chart="11" format="75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7"/>
          </reference>
        </references>
      </pivotArea>
    </chartFormat>
    <chartFormat chart="11" format="76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8"/>
          </reference>
        </references>
      </pivotArea>
    </chartFormat>
    <chartFormat chart="11" format="77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0"/>
          </reference>
        </references>
      </pivotArea>
    </chartFormat>
    <chartFormat chart="11" format="78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1"/>
          </reference>
        </references>
      </pivotArea>
    </chartFormat>
    <chartFormat chart="11" format="79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</references>
      </pivotArea>
    </chartFormat>
    <chartFormat chart="11" format="80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</references>
      </pivotArea>
    </chartFormat>
    <chartFormat chart="11" format="8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2"/>
          </reference>
        </references>
      </pivotArea>
    </chartFormat>
    <chartFormat chart="11" format="82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5"/>
          </reference>
        </references>
      </pivotArea>
    </chartFormat>
    <chartFormat chart="11" format="83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7"/>
          </reference>
        </references>
      </pivotArea>
    </chartFormat>
    <chartFormat chart="11" format="84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8"/>
          </reference>
        </references>
      </pivotArea>
    </chartFormat>
    <chartFormat chart="11" format="85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0"/>
          </reference>
        </references>
      </pivotArea>
    </chartFormat>
    <chartFormat chart="11" format="86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</references>
      </pivotArea>
    </chartFormat>
    <chartFormat chart="11" format="87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1"/>
          </reference>
        </references>
      </pivotArea>
    </chartFormat>
    <chartFormat chart="11" format="88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2"/>
          </reference>
        </references>
      </pivotArea>
    </chartFormat>
    <chartFormat chart="11" format="89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4"/>
          </reference>
        </references>
      </pivotArea>
    </chartFormat>
    <chartFormat chart="11" format="90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5"/>
          </reference>
        </references>
      </pivotArea>
    </chartFormat>
    <chartFormat chart="11" format="9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6"/>
          </reference>
        </references>
      </pivotArea>
    </chartFormat>
    <chartFormat chart="11" format="92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8"/>
          </reference>
        </references>
      </pivotArea>
    </chartFormat>
    <chartFormat chart="11" format="93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10"/>
          </reference>
        </references>
      </pivotArea>
    </chartFormat>
    <chartFormat chart="11" format="94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11"/>
          </reference>
        </references>
      </pivotArea>
    </chartFormat>
    <chartFormat chart="11" format="95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0"/>
          </reference>
        </references>
      </pivotArea>
    </chartFormat>
    <chartFormat chart="11" format="96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1"/>
          </reference>
        </references>
      </pivotArea>
    </chartFormat>
    <chartFormat chart="11" format="97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2"/>
          </reference>
        </references>
      </pivotArea>
    </chartFormat>
    <chartFormat chart="11" format="98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3"/>
          </reference>
        </references>
      </pivotArea>
    </chartFormat>
    <chartFormat chart="11" format="99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5"/>
          </reference>
        </references>
      </pivotArea>
    </chartFormat>
    <chartFormat chart="11" format="100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6"/>
          </reference>
        </references>
      </pivotArea>
    </chartFormat>
    <chartFormat chart="11" format="10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7"/>
          </reference>
        </references>
      </pivotArea>
    </chartFormat>
    <chartFormat chart="11" format="102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8"/>
          </reference>
        </references>
      </pivotArea>
    </chartFormat>
    <chartFormat chart="11" format="103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10"/>
          </reference>
        </references>
      </pivotArea>
    </chartFormat>
    <chartFormat chart="11" format="104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8052AB-28FF-47C4-9A8B-95166442D0F8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D19:E32" firstHeaderRow="1" firstDataRow="1" firstDataCol="1"/>
  <pivotFields count="6">
    <pivotField showAll="0"/>
    <pivotField showAll="0"/>
    <pivotField showAll="0"/>
    <pivotField numFmtId="164" showAll="0"/>
    <pivotField dataField="1" numFmtId="2" showAll="0"/>
    <pivotField axis="axisRow" showAll="0" sortType="ascending">
      <items count="13">
        <item x="10"/>
        <item x="2"/>
        <item x="6"/>
        <item x="8"/>
        <item x="7"/>
        <item x="1"/>
        <item x="0"/>
        <item x="9"/>
        <item x="11"/>
        <item x="5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5"/>
  </rowFields>
  <rowItems count="13">
    <i>
      <x v="3"/>
    </i>
    <i>
      <x v="2"/>
    </i>
    <i>
      <x v="9"/>
    </i>
    <i>
      <x v="7"/>
    </i>
    <i>
      <x v="1"/>
    </i>
    <i>
      <x v="5"/>
    </i>
    <i>
      <x v="4"/>
    </i>
    <i>
      <x/>
    </i>
    <i>
      <x v="11"/>
    </i>
    <i>
      <x v="10"/>
    </i>
    <i>
      <x v="8"/>
    </i>
    <i>
      <x v="6"/>
    </i>
    <i t="grand">
      <x/>
    </i>
  </rowItems>
  <colItems count="1">
    <i/>
  </colItems>
  <dataFields count="1">
    <dataField name="Monthly Inflation Rate%" fld="4" baseField="5" baseItem="1" numFmtId="2"/>
  </dataFields>
  <conditionalFormats count="2">
    <conditionalFormat type="all"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5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type="all"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5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</conditionalFormat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604CB1-5CE4-404B-9B5E-749B599E28FC}" name="PivotTable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9:B32" firstHeaderRow="1" firstDataRow="1" firstDataCol="1"/>
  <pivotFields count="7">
    <pivotField showAll="0"/>
    <pivotField showAll="0"/>
    <pivotField showAll="0"/>
    <pivotField numFmtId="164" showAll="0"/>
    <pivotField numFmtId="2" showAll="0"/>
    <pivotField axis="axisRow" showAll="0">
      <items count="13">
        <item x="10"/>
        <item x="2"/>
        <item x="6"/>
        <item x="8"/>
        <item x="7"/>
        <item x="1"/>
        <item x="0"/>
        <item x="9"/>
        <item x="11"/>
        <item x="5"/>
        <item x="4"/>
        <item x="3"/>
        <item t="default"/>
      </items>
    </pivotField>
    <pivotField dataField="1" numFmtId="2" showAll="0"/>
  </pivotFields>
  <rowFields count="1">
    <field x="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bs change in inflation" fld="6" baseField="5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C9B0A1-9F32-4CB7-BAFD-012C0E5C1554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MONTHS">
  <location ref="A61:B76" firstHeaderRow="1" firstDataRow="1" firstDataCol="1"/>
  <pivotFields count="20">
    <pivotField showAll="0"/>
    <pivotField axis="axisRow" showAll="0">
      <items count="3">
        <item x="0"/>
        <item x="1"/>
        <item t="default"/>
      </items>
    </pivotField>
    <pivotField axis="axisRow" showAll="0">
      <items count="13">
        <item x="7"/>
        <item x="8"/>
        <item x="9"/>
        <item x="10"/>
        <item x="11"/>
        <item x="0"/>
        <item x="1"/>
        <item x="2"/>
        <item x="3"/>
        <item x="4"/>
        <item x="5"/>
        <item x="6"/>
        <item t="default"/>
      </items>
    </pivotField>
    <pivotField dataField="1" numFmtId="164" showAll="0"/>
    <pivotField numFmtId="2"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"/>
    <field x="2"/>
  </rowFields>
  <rowItems count="15">
    <i>
      <x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Broader Food&amp;Beverages" fld="3" baseField="1" baseItem="0" numFmtId="16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40807F-CD59-452A-8D8C-41638CE8EB78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YEAR">
  <location ref="M3:N10" firstHeaderRow="1" firstDataRow="1" firstDataCol="1"/>
  <pivotFields count="2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numFmtId="1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YEARLY INFLATION" fld="1" baseField="0" baseItem="0" numFmtId="1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DF1894-BEBE-4C26-BA11-F0754568AD1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:I13" firstHeaderRow="1" firstDataRow="1" firstDataCol="1"/>
  <pivotFields count="5">
    <pivotField showAll="0"/>
    <pivotField dataField="1" showAll="0"/>
    <pivotField showAll="0"/>
    <pivotField showAll="0"/>
    <pivotField axis="axisRow" showAll="0" sortType="descending">
      <items count="11">
        <item x="2"/>
        <item x="8"/>
        <item x="4"/>
        <item x="0"/>
        <item x="5"/>
        <item x="3"/>
        <item x="9"/>
        <item x="1"/>
        <item x="7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"/>
  </rowFields>
  <rowItems count="11">
    <i>
      <x v="3"/>
    </i>
    <i>
      <x/>
    </i>
    <i>
      <x v="8"/>
    </i>
    <i>
      <x v="7"/>
    </i>
    <i>
      <x v="4"/>
    </i>
    <i>
      <x v="2"/>
    </i>
    <i>
      <x v="1"/>
    </i>
    <i>
      <x v="5"/>
    </i>
    <i>
      <x v="6"/>
    </i>
    <i>
      <x v="9"/>
    </i>
    <i t="grand">
      <x/>
    </i>
  </rowItems>
  <colItems count="1">
    <i/>
  </colItems>
  <dataFields count="1">
    <dataField name="Rural%" fld="1" showDataAs="percentOfTotal" baseField="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D0F423-08A6-4213-9EF9-C3A6024FEA3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K2:L13" firstHeaderRow="1" firstDataRow="1" firstDataCol="1"/>
  <pivotFields count="5">
    <pivotField showAll="0"/>
    <pivotField showAll="0"/>
    <pivotField dataField="1" showAll="0"/>
    <pivotField showAll="0"/>
    <pivotField axis="axisRow" showAll="0">
      <items count="11">
        <item x="2"/>
        <item x="8"/>
        <item x="1"/>
        <item x="4"/>
        <item x="0"/>
        <item x="5"/>
        <item x="3"/>
        <item x="9"/>
        <item x="7"/>
        <item x="6"/>
        <item t="default"/>
      </items>
    </pivotField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Urban%" fld="2" showDataAs="percentOfTotal" baseField="4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084E3E-B601-4256-8766-E52D159219E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FoodCategory">
  <location ref="N2:O13" firstHeaderRow="1" firstDataRow="1" firstDataCol="1"/>
  <pivotFields count="5">
    <pivotField showAll="0"/>
    <pivotField showAll="0"/>
    <pivotField showAll="0"/>
    <pivotField dataField="1" showAll="0"/>
    <pivotField axis="axisRow" showAll="0" sortType="descending">
      <items count="11">
        <item x="2"/>
        <item x="8"/>
        <item x="4"/>
        <item x="0"/>
        <item x="5"/>
        <item x="3"/>
        <item x="9"/>
        <item x="1"/>
        <item x="7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"/>
  </rowFields>
  <rowItems count="11">
    <i>
      <x v="3"/>
    </i>
    <i>
      <x/>
    </i>
    <i>
      <x v="8"/>
    </i>
    <i>
      <x v="5"/>
    </i>
    <i>
      <x v="7"/>
    </i>
    <i>
      <x v="4"/>
    </i>
    <i>
      <x v="2"/>
    </i>
    <i>
      <x v="1"/>
    </i>
    <i>
      <x v="6"/>
    </i>
    <i>
      <x v="9"/>
    </i>
    <i t="grand">
      <x/>
    </i>
  </rowItems>
  <colItems count="1">
    <i/>
  </colItems>
  <dataFields count="1">
    <dataField name="Rural+Urban%" fld="3" showDataAs="percentOfTotal" baseField="4" baseItem="0" numFmtId="10"/>
  </dataFields>
  <conditionalFormats count="1">
    <conditionalFormat type="all"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4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5" Type="http://schemas.openxmlformats.org/officeDocument/2006/relationships/drawing" Target="../drawings/drawing6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D72C3-D3E8-41BB-9FF8-B85C67F25119}">
  <dimension ref="A1:AD373"/>
  <sheetViews>
    <sheetView workbookViewId="0"/>
  </sheetViews>
  <sheetFormatPr defaultRowHeight="14.4" x14ac:dyDescent="0.3"/>
  <cols>
    <col min="1" max="1" width="11.109375" bestFit="1" customWidth="1"/>
    <col min="4" max="4" width="18.21875" bestFit="1" customWidth="1"/>
    <col min="5" max="5" width="11.5546875" bestFit="1" customWidth="1"/>
    <col min="7" max="7" width="15.109375" bestFit="1" customWidth="1"/>
    <col min="8" max="8" width="13" bestFit="1" customWidth="1"/>
    <col min="10" max="10" width="9.88671875" bestFit="1" customWidth="1"/>
    <col min="11" max="11" width="17.33203125" bestFit="1" customWidth="1"/>
    <col min="12" max="12" width="20.6640625" bestFit="1" customWidth="1"/>
    <col min="14" max="14" width="21.109375" bestFit="1" customWidth="1"/>
    <col min="15" max="15" width="30.77734375" bestFit="1" customWidth="1"/>
    <col min="16" max="16" width="17" bestFit="1" customWidth="1"/>
    <col min="17" max="17" width="24.21875" bestFit="1" customWidth="1"/>
    <col min="20" max="20" width="18.5546875" bestFit="1" customWidth="1"/>
    <col min="21" max="21" width="9.77734375" bestFit="1" customWidth="1"/>
    <col min="22" max="22" width="11.44140625" bestFit="1" customWidth="1"/>
    <col min="23" max="23" width="25.5546875" bestFit="1" customWidth="1"/>
    <col min="25" max="25" width="25.21875" bestFit="1" customWidth="1"/>
    <col min="26" max="26" width="23.33203125" bestFit="1" customWidth="1"/>
    <col min="27" max="27" width="9" bestFit="1" customWidth="1"/>
    <col min="28" max="28" width="21.6640625" bestFit="1" customWidth="1"/>
    <col min="29" max="29" width="12.5546875" bestFit="1" customWidth="1"/>
    <col min="30" max="30" width="12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30</v>
      </c>
      <c r="B2">
        <v>2013</v>
      </c>
      <c r="C2" t="s">
        <v>31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105.1</v>
      </c>
      <c r="R2">
        <v>106.5</v>
      </c>
      <c r="S2">
        <v>105.8</v>
      </c>
      <c r="T2">
        <v>106.4</v>
      </c>
      <c r="U2" t="s">
        <v>32</v>
      </c>
      <c r="V2">
        <v>105.5</v>
      </c>
      <c r="W2">
        <v>104.8</v>
      </c>
      <c r="X2">
        <v>104</v>
      </c>
      <c r="Y2">
        <v>103.3</v>
      </c>
      <c r="Z2">
        <v>103.4</v>
      </c>
      <c r="AA2">
        <v>103.8</v>
      </c>
      <c r="AB2">
        <v>104.7</v>
      </c>
      <c r="AC2">
        <v>104</v>
      </c>
      <c r="AD2">
        <v>105.1</v>
      </c>
    </row>
    <row r="3" spans="1:30" x14ac:dyDescent="0.3">
      <c r="A3" t="s">
        <v>33</v>
      </c>
      <c r="B3">
        <v>2013</v>
      </c>
      <c r="C3" t="s">
        <v>31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105.2</v>
      </c>
      <c r="R3">
        <v>105.9</v>
      </c>
      <c r="S3">
        <v>105</v>
      </c>
      <c r="T3">
        <v>105.8</v>
      </c>
      <c r="U3">
        <v>100.3</v>
      </c>
      <c r="V3">
        <v>105.4</v>
      </c>
      <c r="W3">
        <v>104.8</v>
      </c>
      <c r="X3">
        <v>104.1</v>
      </c>
      <c r="Y3">
        <v>103.2</v>
      </c>
      <c r="Z3">
        <v>102.9</v>
      </c>
      <c r="AA3">
        <v>103.5</v>
      </c>
      <c r="AB3">
        <v>104.3</v>
      </c>
      <c r="AC3">
        <v>103.7</v>
      </c>
      <c r="AD3">
        <v>104</v>
      </c>
    </row>
    <row r="4" spans="1:30" x14ac:dyDescent="0.3">
      <c r="A4" t="s">
        <v>34</v>
      </c>
      <c r="B4">
        <v>2013</v>
      </c>
      <c r="C4" t="s">
        <v>31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105.1</v>
      </c>
      <c r="R4">
        <v>106.3</v>
      </c>
      <c r="S4">
        <v>105.5</v>
      </c>
      <c r="T4">
        <v>106.2</v>
      </c>
      <c r="U4">
        <v>100.3</v>
      </c>
      <c r="V4">
        <v>105.5</v>
      </c>
      <c r="W4">
        <v>104.8</v>
      </c>
      <c r="X4">
        <v>104</v>
      </c>
      <c r="Y4">
        <v>103.2</v>
      </c>
      <c r="Z4">
        <v>103.1</v>
      </c>
      <c r="AA4">
        <v>103.6</v>
      </c>
      <c r="AB4">
        <v>104.5</v>
      </c>
      <c r="AC4">
        <v>103.9</v>
      </c>
      <c r="AD4">
        <v>104.6</v>
      </c>
    </row>
    <row r="5" spans="1:30" x14ac:dyDescent="0.3">
      <c r="A5" t="s">
        <v>30</v>
      </c>
      <c r="B5">
        <v>2013</v>
      </c>
      <c r="C5" t="s">
        <v>35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105.6</v>
      </c>
      <c r="R5">
        <v>107.1</v>
      </c>
      <c r="S5">
        <v>106.3</v>
      </c>
      <c r="T5">
        <v>107</v>
      </c>
      <c r="U5" t="s">
        <v>32</v>
      </c>
      <c r="V5">
        <v>106.2</v>
      </c>
      <c r="W5">
        <v>105.2</v>
      </c>
      <c r="X5">
        <v>104.4</v>
      </c>
      <c r="Y5">
        <v>103.9</v>
      </c>
      <c r="Z5">
        <v>104</v>
      </c>
      <c r="AA5">
        <v>104.1</v>
      </c>
      <c r="AB5">
        <v>104.6</v>
      </c>
      <c r="AC5">
        <v>104.4</v>
      </c>
      <c r="AD5">
        <v>105.8</v>
      </c>
    </row>
    <row r="6" spans="1:30" x14ac:dyDescent="0.3">
      <c r="A6" t="s">
        <v>33</v>
      </c>
      <c r="B6">
        <v>2013</v>
      </c>
      <c r="C6" t="s">
        <v>35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</v>
      </c>
      <c r="R6">
        <v>106.6</v>
      </c>
      <c r="S6">
        <v>105.5</v>
      </c>
      <c r="T6">
        <v>106.4</v>
      </c>
      <c r="U6">
        <v>100.4</v>
      </c>
      <c r="V6">
        <v>105.7</v>
      </c>
      <c r="W6">
        <v>105.2</v>
      </c>
      <c r="X6">
        <v>104.7</v>
      </c>
      <c r="Y6">
        <v>104.4</v>
      </c>
      <c r="Z6">
        <v>103.3</v>
      </c>
      <c r="AA6">
        <v>103.7</v>
      </c>
      <c r="AB6">
        <v>104.3</v>
      </c>
      <c r="AC6">
        <v>104.3</v>
      </c>
      <c r="AD6">
        <v>104.7</v>
      </c>
    </row>
    <row r="7" spans="1:30" x14ac:dyDescent="0.3">
      <c r="A7" t="s">
        <v>34</v>
      </c>
      <c r="B7">
        <v>2013</v>
      </c>
      <c r="C7" t="s">
        <v>35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105.7</v>
      </c>
      <c r="R7">
        <v>106.9</v>
      </c>
      <c r="S7">
        <v>106</v>
      </c>
      <c r="T7">
        <v>106.8</v>
      </c>
      <c r="U7">
        <v>100.4</v>
      </c>
      <c r="V7">
        <v>106</v>
      </c>
      <c r="W7">
        <v>105.2</v>
      </c>
      <c r="X7">
        <v>104.5</v>
      </c>
      <c r="Y7">
        <v>104.2</v>
      </c>
      <c r="Z7">
        <v>103.6</v>
      </c>
      <c r="AA7">
        <v>103.9</v>
      </c>
      <c r="AB7">
        <v>104.5</v>
      </c>
      <c r="AC7">
        <v>104.4</v>
      </c>
      <c r="AD7">
        <v>105.3</v>
      </c>
    </row>
    <row r="8" spans="1:30" x14ac:dyDescent="0.3">
      <c r="A8" t="s">
        <v>30</v>
      </c>
      <c r="B8">
        <v>2013</v>
      </c>
      <c r="C8" t="s">
        <v>36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106.5</v>
      </c>
      <c r="R8">
        <v>107.6</v>
      </c>
      <c r="S8">
        <v>106.8</v>
      </c>
      <c r="T8">
        <v>107.5</v>
      </c>
      <c r="U8" t="s">
        <v>32</v>
      </c>
      <c r="V8">
        <v>106.1</v>
      </c>
      <c r="W8">
        <v>105.6</v>
      </c>
      <c r="X8">
        <v>104.7</v>
      </c>
      <c r="Y8">
        <v>104.6</v>
      </c>
      <c r="Z8">
        <v>104</v>
      </c>
      <c r="AA8">
        <v>104.3</v>
      </c>
      <c r="AB8">
        <v>104.3</v>
      </c>
      <c r="AC8">
        <v>104.6</v>
      </c>
      <c r="AD8">
        <v>106</v>
      </c>
    </row>
    <row r="9" spans="1:30" x14ac:dyDescent="0.3">
      <c r="A9" t="s">
        <v>33</v>
      </c>
      <c r="B9">
        <v>2013</v>
      </c>
      <c r="C9" t="s">
        <v>36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106.8</v>
      </c>
      <c r="R9">
        <v>107.2</v>
      </c>
      <c r="S9">
        <v>106</v>
      </c>
      <c r="T9">
        <v>107</v>
      </c>
      <c r="U9">
        <v>100.4</v>
      </c>
      <c r="V9">
        <v>106</v>
      </c>
      <c r="W9">
        <v>105.7</v>
      </c>
      <c r="X9">
        <v>105.2</v>
      </c>
      <c r="Y9">
        <v>105.5</v>
      </c>
      <c r="Z9">
        <v>103.5</v>
      </c>
      <c r="AA9">
        <v>103.8</v>
      </c>
      <c r="AB9">
        <v>104.2</v>
      </c>
      <c r="AC9">
        <v>104.9</v>
      </c>
      <c r="AD9">
        <v>105</v>
      </c>
    </row>
    <row r="10" spans="1:30" x14ac:dyDescent="0.3">
      <c r="A10" t="s">
        <v>34</v>
      </c>
      <c r="B10">
        <v>2013</v>
      </c>
      <c r="C10" t="s">
        <v>36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106.6</v>
      </c>
      <c r="R10">
        <v>107.4</v>
      </c>
      <c r="S10">
        <v>106.5</v>
      </c>
      <c r="T10">
        <v>107.3</v>
      </c>
      <c r="U10">
        <v>100.4</v>
      </c>
      <c r="V10">
        <v>106.1</v>
      </c>
      <c r="W10">
        <v>105.6</v>
      </c>
      <c r="X10">
        <v>104.9</v>
      </c>
      <c r="Y10">
        <v>105.1</v>
      </c>
      <c r="Z10">
        <v>103.7</v>
      </c>
      <c r="AA10">
        <v>104</v>
      </c>
      <c r="AB10">
        <v>104.3</v>
      </c>
      <c r="AC10">
        <v>104.7</v>
      </c>
      <c r="AD10">
        <v>105.5</v>
      </c>
    </row>
    <row r="11" spans="1:30" x14ac:dyDescent="0.3">
      <c r="A11" t="s">
        <v>30</v>
      </c>
      <c r="B11">
        <v>2013</v>
      </c>
      <c r="C11" t="s">
        <v>37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107.1</v>
      </c>
      <c r="R11">
        <v>108.1</v>
      </c>
      <c r="S11">
        <v>107.4</v>
      </c>
      <c r="T11">
        <v>108</v>
      </c>
      <c r="U11" t="s">
        <v>32</v>
      </c>
      <c r="V11">
        <v>106.5</v>
      </c>
      <c r="W11">
        <v>106.1</v>
      </c>
      <c r="X11">
        <v>105.1</v>
      </c>
      <c r="Y11">
        <v>104.4</v>
      </c>
      <c r="Z11">
        <v>104.5</v>
      </c>
      <c r="AA11">
        <v>104.8</v>
      </c>
      <c r="AB11">
        <v>102.7</v>
      </c>
      <c r="AC11">
        <v>104.6</v>
      </c>
      <c r="AD11">
        <v>106.4</v>
      </c>
    </row>
    <row r="12" spans="1:30" x14ac:dyDescent="0.3">
      <c r="A12" t="s">
        <v>33</v>
      </c>
      <c r="B12">
        <v>2013</v>
      </c>
      <c r="C12" t="s">
        <v>37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108.5</v>
      </c>
      <c r="R12">
        <v>107.9</v>
      </c>
      <c r="S12">
        <v>106.4</v>
      </c>
      <c r="T12">
        <v>107.7</v>
      </c>
      <c r="U12">
        <v>100.5</v>
      </c>
      <c r="V12">
        <v>106.4</v>
      </c>
      <c r="W12">
        <v>106.5</v>
      </c>
      <c r="X12">
        <v>105.7</v>
      </c>
      <c r="Y12">
        <v>105</v>
      </c>
      <c r="Z12">
        <v>104</v>
      </c>
      <c r="AA12">
        <v>105.2</v>
      </c>
      <c r="AB12">
        <v>103.2</v>
      </c>
      <c r="AC12">
        <v>105.1</v>
      </c>
      <c r="AD12">
        <v>105.7</v>
      </c>
    </row>
    <row r="13" spans="1:30" x14ac:dyDescent="0.3">
      <c r="A13" t="s">
        <v>34</v>
      </c>
      <c r="B13">
        <v>2013</v>
      </c>
      <c r="C13" t="s">
        <v>37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107.5</v>
      </c>
      <c r="R13">
        <v>108</v>
      </c>
      <c r="S13">
        <v>107</v>
      </c>
      <c r="T13">
        <v>107.9</v>
      </c>
      <c r="U13">
        <v>100.5</v>
      </c>
      <c r="V13">
        <v>106.5</v>
      </c>
      <c r="W13">
        <v>106.3</v>
      </c>
      <c r="X13">
        <v>105.3</v>
      </c>
      <c r="Y13">
        <v>104.7</v>
      </c>
      <c r="Z13">
        <v>104.2</v>
      </c>
      <c r="AA13">
        <v>105</v>
      </c>
      <c r="AB13">
        <v>102.9</v>
      </c>
      <c r="AC13">
        <v>104.8</v>
      </c>
      <c r="AD13">
        <v>106.1</v>
      </c>
    </row>
    <row r="14" spans="1:30" x14ac:dyDescent="0.3">
      <c r="A14" t="s">
        <v>30</v>
      </c>
      <c r="B14">
        <v>2013</v>
      </c>
      <c r="C14" t="s">
        <v>38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108.1</v>
      </c>
      <c r="R14">
        <v>108.8</v>
      </c>
      <c r="S14">
        <v>107.9</v>
      </c>
      <c r="T14">
        <v>108.6</v>
      </c>
      <c r="U14" t="s">
        <v>32</v>
      </c>
      <c r="V14">
        <v>107.5</v>
      </c>
      <c r="W14">
        <v>106.8</v>
      </c>
      <c r="X14">
        <v>105.7</v>
      </c>
      <c r="Y14">
        <v>104.1</v>
      </c>
      <c r="Z14">
        <v>105</v>
      </c>
      <c r="AA14">
        <v>105.5</v>
      </c>
      <c r="AB14">
        <v>102.1</v>
      </c>
      <c r="AC14">
        <v>104.8</v>
      </c>
      <c r="AD14">
        <v>107.2</v>
      </c>
    </row>
    <row r="15" spans="1:30" x14ac:dyDescent="0.3">
      <c r="A15" t="s">
        <v>33</v>
      </c>
      <c r="B15">
        <v>2013</v>
      </c>
      <c r="C15" t="s">
        <v>38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109.8</v>
      </c>
      <c r="R15">
        <v>108.5</v>
      </c>
      <c r="S15">
        <v>106.7</v>
      </c>
      <c r="T15">
        <v>108.3</v>
      </c>
      <c r="U15">
        <v>100.5</v>
      </c>
      <c r="V15">
        <v>107.2</v>
      </c>
      <c r="W15">
        <v>107.1</v>
      </c>
      <c r="X15">
        <v>106.2</v>
      </c>
      <c r="Y15">
        <v>103.9</v>
      </c>
      <c r="Z15">
        <v>104.6</v>
      </c>
      <c r="AA15">
        <v>105.7</v>
      </c>
      <c r="AB15">
        <v>102.6</v>
      </c>
      <c r="AC15">
        <v>104.9</v>
      </c>
      <c r="AD15">
        <v>106.6</v>
      </c>
    </row>
    <row r="16" spans="1:30" x14ac:dyDescent="0.3">
      <c r="A16" t="s">
        <v>34</v>
      </c>
      <c r="B16">
        <v>2013</v>
      </c>
      <c r="C16" t="s">
        <v>38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108.6</v>
      </c>
      <c r="R16">
        <v>108.7</v>
      </c>
      <c r="S16">
        <v>107.4</v>
      </c>
      <c r="T16">
        <v>108.5</v>
      </c>
      <c r="U16">
        <v>100.5</v>
      </c>
      <c r="V16">
        <v>107.4</v>
      </c>
      <c r="W16">
        <v>106.9</v>
      </c>
      <c r="X16">
        <v>105.9</v>
      </c>
      <c r="Y16">
        <v>104</v>
      </c>
      <c r="Z16">
        <v>104.8</v>
      </c>
      <c r="AA16">
        <v>105.6</v>
      </c>
      <c r="AB16">
        <v>102.3</v>
      </c>
      <c r="AC16">
        <v>104.8</v>
      </c>
      <c r="AD16">
        <v>106.9</v>
      </c>
    </row>
    <row r="17" spans="1:30" x14ac:dyDescent="0.3">
      <c r="A17" t="s">
        <v>30</v>
      </c>
      <c r="B17">
        <v>2013</v>
      </c>
      <c r="C17" t="s">
        <v>39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</v>
      </c>
      <c r="R17">
        <v>109.7</v>
      </c>
      <c r="S17">
        <v>108.8</v>
      </c>
      <c r="T17">
        <v>109.5</v>
      </c>
      <c r="U17" t="s">
        <v>32</v>
      </c>
      <c r="V17">
        <v>108.5</v>
      </c>
      <c r="W17">
        <v>107.5</v>
      </c>
      <c r="X17">
        <v>106.3</v>
      </c>
      <c r="Y17">
        <v>105</v>
      </c>
      <c r="Z17">
        <v>105.6</v>
      </c>
      <c r="AA17">
        <v>106.5</v>
      </c>
      <c r="AB17">
        <v>102.5</v>
      </c>
      <c r="AC17">
        <v>105.5</v>
      </c>
      <c r="AD17">
        <v>108.9</v>
      </c>
    </row>
    <row r="18" spans="1:30" x14ac:dyDescent="0.3">
      <c r="A18" t="s">
        <v>33</v>
      </c>
      <c r="B18">
        <v>2013</v>
      </c>
      <c r="C18" t="s">
        <v>39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110.9</v>
      </c>
      <c r="R18">
        <v>109.2</v>
      </c>
      <c r="S18">
        <v>107.2</v>
      </c>
      <c r="T18">
        <v>108.9</v>
      </c>
      <c r="U18">
        <v>106.6</v>
      </c>
      <c r="V18">
        <v>108</v>
      </c>
      <c r="W18">
        <v>107.7</v>
      </c>
      <c r="X18">
        <v>106.5</v>
      </c>
      <c r="Y18">
        <v>105.2</v>
      </c>
      <c r="Z18">
        <v>105.2</v>
      </c>
      <c r="AA18">
        <v>108.1</v>
      </c>
      <c r="AB18">
        <v>103.3</v>
      </c>
      <c r="AC18">
        <v>106.1</v>
      </c>
      <c r="AD18">
        <v>109.7</v>
      </c>
    </row>
    <row r="19" spans="1:30" x14ac:dyDescent="0.3">
      <c r="A19" t="s">
        <v>34</v>
      </c>
      <c r="B19">
        <v>2013</v>
      </c>
      <c r="C19" t="s">
        <v>39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109.5</v>
      </c>
      <c r="R19">
        <v>109.5</v>
      </c>
      <c r="S19">
        <v>108.1</v>
      </c>
      <c r="T19">
        <v>109.3</v>
      </c>
      <c r="U19">
        <v>106.6</v>
      </c>
      <c r="V19">
        <v>108.3</v>
      </c>
      <c r="W19">
        <v>107.6</v>
      </c>
      <c r="X19">
        <v>106.4</v>
      </c>
      <c r="Y19">
        <v>105.1</v>
      </c>
      <c r="Z19">
        <v>105.4</v>
      </c>
      <c r="AA19">
        <v>107.4</v>
      </c>
      <c r="AB19">
        <v>102.8</v>
      </c>
      <c r="AC19">
        <v>105.8</v>
      </c>
      <c r="AD19">
        <v>109.3</v>
      </c>
    </row>
    <row r="20" spans="1:30" x14ac:dyDescent="0.3">
      <c r="A20" t="s">
        <v>30</v>
      </c>
      <c r="B20">
        <v>2013</v>
      </c>
      <c r="C20" t="s">
        <v>40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109.8</v>
      </c>
      <c r="R20">
        <v>110.5</v>
      </c>
      <c r="S20">
        <v>109.5</v>
      </c>
      <c r="T20">
        <v>110.3</v>
      </c>
      <c r="U20" t="s">
        <v>32</v>
      </c>
      <c r="V20">
        <v>109.5</v>
      </c>
      <c r="W20">
        <v>108.3</v>
      </c>
      <c r="X20">
        <v>106.9</v>
      </c>
      <c r="Y20">
        <v>106.8</v>
      </c>
      <c r="Z20">
        <v>106.4</v>
      </c>
      <c r="AA20">
        <v>107.8</v>
      </c>
      <c r="AB20">
        <v>102.5</v>
      </c>
      <c r="AC20">
        <v>106.5</v>
      </c>
      <c r="AD20">
        <v>110.7</v>
      </c>
    </row>
    <row r="21" spans="1:30" x14ac:dyDescent="0.3">
      <c r="A21" t="s">
        <v>33</v>
      </c>
      <c r="B21">
        <v>2013</v>
      </c>
      <c r="C21" t="s">
        <v>40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111.7</v>
      </c>
      <c r="R21">
        <v>109.8</v>
      </c>
      <c r="S21">
        <v>107.8</v>
      </c>
      <c r="T21">
        <v>109.5</v>
      </c>
      <c r="U21">
        <v>107.7</v>
      </c>
      <c r="V21">
        <v>108.6</v>
      </c>
      <c r="W21">
        <v>108.1</v>
      </c>
      <c r="X21">
        <v>107.1</v>
      </c>
      <c r="Y21">
        <v>107.3</v>
      </c>
      <c r="Z21">
        <v>105.9</v>
      </c>
      <c r="AA21">
        <v>110.1</v>
      </c>
      <c r="AB21">
        <v>103.2</v>
      </c>
      <c r="AC21">
        <v>107.3</v>
      </c>
      <c r="AD21">
        <v>111.4</v>
      </c>
    </row>
    <row r="22" spans="1:30" x14ac:dyDescent="0.3">
      <c r="A22" t="s">
        <v>34</v>
      </c>
      <c r="B22">
        <v>2013</v>
      </c>
      <c r="C22" t="s">
        <v>40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110.3</v>
      </c>
      <c r="R22">
        <v>110.2</v>
      </c>
      <c r="S22">
        <v>108.8</v>
      </c>
      <c r="T22">
        <v>110</v>
      </c>
      <c r="U22">
        <v>107.7</v>
      </c>
      <c r="V22">
        <v>109.2</v>
      </c>
      <c r="W22">
        <v>108.2</v>
      </c>
      <c r="X22">
        <v>107</v>
      </c>
      <c r="Y22">
        <v>107.1</v>
      </c>
      <c r="Z22">
        <v>106.1</v>
      </c>
      <c r="AA22">
        <v>109.1</v>
      </c>
      <c r="AB22">
        <v>102.8</v>
      </c>
      <c r="AC22">
        <v>106.9</v>
      </c>
      <c r="AD22">
        <v>111</v>
      </c>
    </row>
    <row r="23" spans="1:30" x14ac:dyDescent="0.3">
      <c r="A23" t="s">
        <v>30</v>
      </c>
      <c r="B23">
        <v>2013</v>
      </c>
      <c r="C23" t="s">
        <v>41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110.7</v>
      </c>
      <c r="R23">
        <v>111.3</v>
      </c>
      <c r="S23">
        <v>110.2</v>
      </c>
      <c r="T23">
        <v>111.1</v>
      </c>
      <c r="U23" t="s">
        <v>32</v>
      </c>
      <c r="V23">
        <v>109.9</v>
      </c>
      <c r="W23">
        <v>108.7</v>
      </c>
      <c r="X23">
        <v>107.5</v>
      </c>
      <c r="Y23">
        <v>107.8</v>
      </c>
      <c r="Z23">
        <v>106.8</v>
      </c>
      <c r="AA23">
        <v>108.7</v>
      </c>
      <c r="AB23">
        <v>105</v>
      </c>
      <c r="AC23">
        <v>107.5</v>
      </c>
      <c r="AD23">
        <v>112.1</v>
      </c>
    </row>
    <row r="24" spans="1:30" x14ac:dyDescent="0.3">
      <c r="A24" t="s">
        <v>33</v>
      </c>
      <c r="B24">
        <v>2013</v>
      </c>
      <c r="C24" t="s">
        <v>41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112.4</v>
      </c>
      <c r="R24">
        <v>110.6</v>
      </c>
      <c r="S24">
        <v>108.3</v>
      </c>
      <c r="T24">
        <v>110.2</v>
      </c>
      <c r="U24">
        <v>108.9</v>
      </c>
      <c r="V24">
        <v>109.3</v>
      </c>
      <c r="W24">
        <v>108.7</v>
      </c>
      <c r="X24">
        <v>107.6</v>
      </c>
      <c r="Y24">
        <v>108.1</v>
      </c>
      <c r="Z24">
        <v>106.5</v>
      </c>
      <c r="AA24">
        <v>110.8</v>
      </c>
      <c r="AB24">
        <v>106</v>
      </c>
      <c r="AC24">
        <v>108.3</v>
      </c>
      <c r="AD24">
        <v>112.7</v>
      </c>
    </row>
    <row r="25" spans="1:30" x14ac:dyDescent="0.3">
      <c r="A25" t="s">
        <v>34</v>
      </c>
      <c r="B25">
        <v>2013</v>
      </c>
      <c r="C25" t="s">
        <v>41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111.2</v>
      </c>
      <c r="R25">
        <v>111</v>
      </c>
      <c r="S25">
        <v>109.4</v>
      </c>
      <c r="T25">
        <v>110.7</v>
      </c>
      <c r="U25">
        <v>108.9</v>
      </c>
      <c r="V25">
        <v>109.7</v>
      </c>
      <c r="W25">
        <v>108.7</v>
      </c>
      <c r="X25">
        <v>107.5</v>
      </c>
      <c r="Y25">
        <v>108</v>
      </c>
      <c r="Z25">
        <v>106.6</v>
      </c>
      <c r="AA25">
        <v>109.9</v>
      </c>
      <c r="AB25">
        <v>105.4</v>
      </c>
      <c r="AC25">
        <v>107.9</v>
      </c>
      <c r="AD25">
        <v>112.4</v>
      </c>
    </row>
    <row r="26" spans="1:30" x14ac:dyDescent="0.3">
      <c r="A26" t="s">
        <v>30</v>
      </c>
      <c r="B26">
        <v>2013</v>
      </c>
      <c r="C26" t="s">
        <v>42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111.7</v>
      </c>
      <c r="R26">
        <v>112.7</v>
      </c>
      <c r="S26">
        <v>111.4</v>
      </c>
      <c r="T26">
        <v>112.5</v>
      </c>
      <c r="U26" t="s">
        <v>32</v>
      </c>
      <c r="V26">
        <v>111.1</v>
      </c>
      <c r="W26">
        <v>109.6</v>
      </c>
      <c r="X26">
        <v>108.3</v>
      </c>
      <c r="Y26">
        <v>109.3</v>
      </c>
      <c r="Z26">
        <v>107.7</v>
      </c>
      <c r="AA26">
        <v>109.8</v>
      </c>
      <c r="AB26">
        <v>106.7</v>
      </c>
      <c r="AC26">
        <v>108.7</v>
      </c>
      <c r="AD26">
        <v>114.2</v>
      </c>
    </row>
    <row r="27" spans="1:30" x14ac:dyDescent="0.3">
      <c r="A27" t="s">
        <v>33</v>
      </c>
      <c r="B27">
        <v>2013</v>
      </c>
      <c r="C27" t="s">
        <v>42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112.9</v>
      </c>
      <c r="R27">
        <v>111.4</v>
      </c>
      <c r="S27">
        <v>109</v>
      </c>
      <c r="T27">
        <v>111.1</v>
      </c>
      <c r="U27">
        <v>109.7</v>
      </c>
      <c r="V27">
        <v>109.5</v>
      </c>
      <c r="W27">
        <v>109.6</v>
      </c>
      <c r="X27">
        <v>107.9</v>
      </c>
      <c r="Y27">
        <v>110.4</v>
      </c>
      <c r="Z27">
        <v>107.4</v>
      </c>
      <c r="AA27">
        <v>111.2</v>
      </c>
      <c r="AB27">
        <v>106.9</v>
      </c>
      <c r="AC27">
        <v>109.4</v>
      </c>
      <c r="AD27">
        <v>113.2</v>
      </c>
    </row>
    <row r="28" spans="1:30" x14ac:dyDescent="0.3">
      <c r="A28" t="s">
        <v>34</v>
      </c>
      <c r="B28">
        <v>2013</v>
      </c>
      <c r="C28" t="s">
        <v>42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112</v>
      </c>
      <c r="R28">
        <v>112.2</v>
      </c>
      <c r="S28">
        <v>110.4</v>
      </c>
      <c r="T28">
        <v>111.9</v>
      </c>
      <c r="U28">
        <v>109.7</v>
      </c>
      <c r="V28">
        <v>110.5</v>
      </c>
      <c r="W28">
        <v>109.6</v>
      </c>
      <c r="X28">
        <v>108.1</v>
      </c>
      <c r="Y28">
        <v>109.9</v>
      </c>
      <c r="Z28">
        <v>107.5</v>
      </c>
      <c r="AA28">
        <v>110.6</v>
      </c>
      <c r="AB28">
        <v>106.8</v>
      </c>
      <c r="AC28">
        <v>109</v>
      </c>
      <c r="AD28">
        <v>113.7</v>
      </c>
    </row>
    <row r="29" spans="1:30" x14ac:dyDescent="0.3">
      <c r="A29" t="s">
        <v>30</v>
      </c>
      <c r="B29">
        <v>2013</v>
      </c>
      <c r="C29" t="s">
        <v>43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112.2</v>
      </c>
      <c r="R29">
        <v>113.6</v>
      </c>
      <c r="S29">
        <v>112.3</v>
      </c>
      <c r="T29">
        <v>113.4</v>
      </c>
      <c r="U29" t="s">
        <v>32</v>
      </c>
      <c r="V29">
        <v>111.6</v>
      </c>
      <c r="W29">
        <v>110.4</v>
      </c>
      <c r="X29">
        <v>108.9</v>
      </c>
      <c r="Y29">
        <v>109.3</v>
      </c>
      <c r="Z29">
        <v>108.3</v>
      </c>
      <c r="AA29">
        <v>110.2</v>
      </c>
      <c r="AB29">
        <v>107.5</v>
      </c>
      <c r="AC29">
        <v>109.1</v>
      </c>
      <c r="AD29">
        <v>115.5</v>
      </c>
    </row>
    <row r="30" spans="1:30" x14ac:dyDescent="0.3">
      <c r="A30" t="s">
        <v>33</v>
      </c>
      <c r="B30">
        <v>2013</v>
      </c>
      <c r="C30" t="s">
        <v>43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113.5</v>
      </c>
      <c r="R30">
        <v>112.5</v>
      </c>
      <c r="S30">
        <v>109.7</v>
      </c>
      <c r="T30">
        <v>112</v>
      </c>
      <c r="U30">
        <v>110.5</v>
      </c>
      <c r="V30">
        <v>109.7</v>
      </c>
      <c r="W30">
        <v>110.2</v>
      </c>
      <c r="X30">
        <v>108.2</v>
      </c>
      <c r="Y30">
        <v>109.7</v>
      </c>
      <c r="Z30">
        <v>108</v>
      </c>
      <c r="AA30">
        <v>111.3</v>
      </c>
      <c r="AB30">
        <v>107.3</v>
      </c>
      <c r="AC30">
        <v>109.4</v>
      </c>
      <c r="AD30">
        <v>114</v>
      </c>
    </row>
    <row r="31" spans="1:30" x14ac:dyDescent="0.3">
      <c r="A31" t="s">
        <v>34</v>
      </c>
      <c r="B31">
        <v>2013</v>
      </c>
      <c r="C31" t="s">
        <v>43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112.5</v>
      </c>
      <c r="R31">
        <v>113.2</v>
      </c>
      <c r="S31">
        <v>111.2</v>
      </c>
      <c r="T31">
        <v>112.8</v>
      </c>
      <c r="U31">
        <v>110.5</v>
      </c>
      <c r="V31">
        <v>110.9</v>
      </c>
      <c r="W31">
        <v>110.3</v>
      </c>
      <c r="X31">
        <v>108.6</v>
      </c>
      <c r="Y31">
        <v>109.5</v>
      </c>
      <c r="Z31">
        <v>108.1</v>
      </c>
      <c r="AA31">
        <v>110.8</v>
      </c>
      <c r="AB31">
        <v>107.4</v>
      </c>
      <c r="AC31">
        <v>109.2</v>
      </c>
      <c r="AD31">
        <v>114.8</v>
      </c>
    </row>
    <row r="32" spans="1:30" x14ac:dyDescent="0.3">
      <c r="A32" t="s">
        <v>30</v>
      </c>
      <c r="B32">
        <v>2013</v>
      </c>
      <c r="C32" t="s">
        <v>44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112.8</v>
      </c>
      <c r="R32">
        <v>114.6</v>
      </c>
      <c r="S32">
        <v>113.1</v>
      </c>
      <c r="T32">
        <v>114.4</v>
      </c>
      <c r="U32" t="s">
        <v>32</v>
      </c>
      <c r="V32">
        <v>112.6</v>
      </c>
      <c r="W32">
        <v>111.3</v>
      </c>
      <c r="X32">
        <v>109.7</v>
      </c>
      <c r="Y32">
        <v>109.6</v>
      </c>
      <c r="Z32">
        <v>108.7</v>
      </c>
      <c r="AA32">
        <v>111</v>
      </c>
      <c r="AB32">
        <v>108.2</v>
      </c>
      <c r="AC32">
        <v>109.8</v>
      </c>
      <c r="AD32">
        <v>117.4</v>
      </c>
    </row>
    <row r="33" spans="1:30" x14ac:dyDescent="0.3">
      <c r="A33" t="s">
        <v>33</v>
      </c>
      <c r="B33">
        <v>2013</v>
      </c>
      <c r="C33" t="s">
        <v>45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114.1</v>
      </c>
      <c r="R33">
        <v>113.5</v>
      </c>
      <c r="S33">
        <v>110.3</v>
      </c>
      <c r="T33">
        <v>113</v>
      </c>
      <c r="U33">
        <v>111.1</v>
      </c>
      <c r="V33">
        <v>110</v>
      </c>
      <c r="W33">
        <v>110.9</v>
      </c>
      <c r="X33">
        <v>108.6</v>
      </c>
      <c r="Y33">
        <v>109.5</v>
      </c>
      <c r="Z33">
        <v>108.5</v>
      </c>
      <c r="AA33">
        <v>111.3</v>
      </c>
      <c r="AB33">
        <v>107.9</v>
      </c>
      <c r="AC33">
        <v>109.6</v>
      </c>
      <c r="AD33">
        <v>115</v>
      </c>
    </row>
    <row r="34" spans="1:30" x14ac:dyDescent="0.3">
      <c r="A34" t="s">
        <v>34</v>
      </c>
      <c r="B34">
        <v>2013</v>
      </c>
      <c r="C34" t="s">
        <v>45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113.1</v>
      </c>
      <c r="R34">
        <v>114.2</v>
      </c>
      <c r="S34">
        <v>111.9</v>
      </c>
      <c r="T34">
        <v>113.8</v>
      </c>
      <c r="U34">
        <v>111.1</v>
      </c>
      <c r="V34">
        <v>111.6</v>
      </c>
      <c r="W34">
        <v>111.1</v>
      </c>
      <c r="X34">
        <v>109.3</v>
      </c>
      <c r="Y34">
        <v>109.5</v>
      </c>
      <c r="Z34">
        <v>108.6</v>
      </c>
      <c r="AA34">
        <v>111.2</v>
      </c>
      <c r="AB34">
        <v>108.1</v>
      </c>
      <c r="AC34">
        <v>109.7</v>
      </c>
      <c r="AD34">
        <v>116.3</v>
      </c>
    </row>
    <row r="35" spans="1:30" x14ac:dyDescent="0.3">
      <c r="A35" t="s">
        <v>30</v>
      </c>
      <c r="B35">
        <v>2013</v>
      </c>
      <c r="C35" t="s">
        <v>46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113.6</v>
      </c>
      <c r="R35">
        <v>115.8</v>
      </c>
      <c r="S35">
        <v>114</v>
      </c>
      <c r="T35">
        <v>115.5</v>
      </c>
      <c r="U35" t="s">
        <v>32</v>
      </c>
      <c r="V35">
        <v>112.8</v>
      </c>
      <c r="W35">
        <v>112.1</v>
      </c>
      <c r="X35">
        <v>110.1</v>
      </c>
      <c r="Y35">
        <v>109.9</v>
      </c>
      <c r="Z35">
        <v>109.2</v>
      </c>
      <c r="AA35">
        <v>111.6</v>
      </c>
      <c r="AB35">
        <v>108.1</v>
      </c>
      <c r="AC35">
        <v>110.1</v>
      </c>
      <c r="AD35">
        <v>115.5</v>
      </c>
    </row>
    <row r="36" spans="1:30" x14ac:dyDescent="0.3">
      <c r="A36" t="s">
        <v>33</v>
      </c>
      <c r="B36">
        <v>2013</v>
      </c>
      <c r="C36" t="s">
        <v>46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</v>
      </c>
      <c r="R36">
        <v>114.2</v>
      </c>
      <c r="S36">
        <v>110.9</v>
      </c>
      <c r="T36">
        <v>113.7</v>
      </c>
      <c r="U36">
        <v>110.7</v>
      </c>
      <c r="V36">
        <v>110.4</v>
      </c>
      <c r="W36">
        <v>111.3</v>
      </c>
      <c r="X36">
        <v>109</v>
      </c>
      <c r="Y36">
        <v>109.7</v>
      </c>
      <c r="Z36">
        <v>108.9</v>
      </c>
      <c r="AA36">
        <v>111.4</v>
      </c>
      <c r="AB36">
        <v>107.7</v>
      </c>
      <c r="AC36">
        <v>109.8</v>
      </c>
      <c r="AD36">
        <v>113.3</v>
      </c>
    </row>
    <row r="37" spans="1:30" x14ac:dyDescent="0.3">
      <c r="A37" t="s">
        <v>34</v>
      </c>
      <c r="B37">
        <v>2013</v>
      </c>
      <c r="C37" t="s">
        <v>46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114</v>
      </c>
      <c r="R37">
        <v>115.2</v>
      </c>
      <c r="S37">
        <v>112.7</v>
      </c>
      <c r="T37">
        <v>114.8</v>
      </c>
      <c r="U37">
        <v>110.7</v>
      </c>
      <c r="V37">
        <v>111.9</v>
      </c>
      <c r="W37">
        <v>111.7</v>
      </c>
      <c r="X37">
        <v>109.7</v>
      </c>
      <c r="Y37">
        <v>109.8</v>
      </c>
      <c r="Z37">
        <v>109</v>
      </c>
      <c r="AA37">
        <v>111.5</v>
      </c>
      <c r="AB37">
        <v>107.9</v>
      </c>
      <c r="AC37">
        <v>110</v>
      </c>
      <c r="AD37">
        <v>114.5</v>
      </c>
    </row>
    <row r="38" spans="1:30" x14ac:dyDescent="0.3">
      <c r="A38" t="s">
        <v>30</v>
      </c>
      <c r="B38">
        <v>2014</v>
      </c>
      <c r="C38" t="s">
        <v>31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</v>
      </c>
      <c r="R38">
        <v>116.5</v>
      </c>
      <c r="S38">
        <v>114.5</v>
      </c>
      <c r="T38">
        <v>116.2</v>
      </c>
      <c r="U38" t="s">
        <v>32</v>
      </c>
      <c r="V38">
        <v>113</v>
      </c>
      <c r="W38">
        <v>112.6</v>
      </c>
      <c r="X38">
        <v>110.6</v>
      </c>
      <c r="Y38">
        <v>110.5</v>
      </c>
      <c r="Z38">
        <v>109.6</v>
      </c>
      <c r="AA38">
        <v>111.8</v>
      </c>
      <c r="AB38">
        <v>108.3</v>
      </c>
      <c r="AC38">
        <v>110.6</v>
      </c>
      <c r="AD38">
        <v>114.2</v>
      </c>
    </row>
    <row r="39" spans="1:30" x14ac:dyDescent="0.3">
      <c r="A39" t="s">
        <v>33</v>
      </c>
      <c r="B39">
        <v>2014</v>
      </c>
      <c r="C39" t="s">
        <v>31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115.7</v>
      </c>
      <c r="R39">
        <v>114.8</v>
      </c>
      <c r="S39">
        <v>111.3</v>
      </c>
      <c r="T39">
        <v>114.3</v>
      </c>
      <c r="U39">
        <v>111.6</v>
      </c>
      <c r="V39">
        <v>111</v>
      </c>
      <c r="W39">
        <v>111.9</v>
      </c>
      <c r="X39">
        <v>109.7</v>
      </c>
      <c r="Y39">
        <v>110.8</v>
      </c>
      <c r="Z39">
        <v>109.8</v>
      </c>
      <c r="AA39">
        <v>111.5</v>
      </c>
      <c r="AB39">
        <v>108</v>
      </c>
      <c r="AC39">
        <v>110.5</v>
      </c>
      <c r="AD39">
        <v>112.9</v>
      </c>
    </row>
    <row r="40" spans="1:30" x14ac:dyDescent="0.3">
      <c r="A40" t="s">
        <v>34</v>
      </c>
      <c r="B40">
        <v>2014</v>
      </c>
      <c r="C40" t="s">
        <v>31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114.5</v>
      </c>
      <c r="R40">
        <v>115.8</v>
      </c>
      <c r="S40">
        <v>113.2</v>
      </c>
      <c r="T40">
        <v>115.4</v>
      </c>
      <c r="U40">
        <v>111.6</v>
      </c>
      <c r="V40">
        <v>112.2</v>
      </c>
      <c r="W40">
        <v>112.3</v>
      </c>
      <c r="X40">
        <v>110.3</v>
      </c>
      <c r="Y40">
        <v>110.7</v>
      </c>
      <c r="Z40">
        <v>109.7</v>
      </c>
      <c r="AA40">
        <v>111.6</v>
      </c>
      <c r="AB40">
        <v>108.2</v>
      </c>
      <c r="AC40">
        <v>110.6</v>
      </c>
      <c r="AD40">
        <v>113.6</v>
      </c>
    </row>
    <row r="41" spans="1:30" x14ac:dyDescent="0.3">
      <c r="A41" t="s">
        <v>30</v>
      </c>
      <c r="B41">
        <v>2014</v>
      </c>
      <c r="C41" t="s">
        <v>35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114.2</v>
      </c>
      <c r="R41">
        <v>117.1</v>
      </c>
      <c r="S41">
        <v>114.5</v>
      </c>
      <c r="T41">
        <v>116.7</v>
      </c>
      <c r="U41" t="s">
        <v>32</v>
      </c>
      <c r="V41">
        <v>113.2</v>
      </c>
      <c r="W41">
        <v>112.9</v>
      </c>
      <c r="X41">
        <v>110.9</v>
      </c>
      <c r="Y41">
        <v>110.8</v>
      </c>
      <c r="Z41">
        <v>109.9</v>
      </c>
      <c r="AA41">
        <v>112</v>
      </c>
      <c r="AB41">
        <v>108.7</v>
      </c>
      <c r="AC41">
        <v>110.9</v>
      </c>
      <c r="AD41">
        <v>114</v>
      </c>
    </row>
    <row r="42" spans="1:30" x14ac:dyDescent="0.3">
      <c r="A42" t="s">
        <v>33</v>
      </c>
      <c r="B42">
        <v>2014</v>
      </c>
      <c r="C42" t="s">
        <v>35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116.2</v>
      </c>
      <c r="R42">
        <v>115.3</v>
      </c>
      <c r="S42">
        <v>111.7</v>
      </c>
      <c r="T42">
        <v>114.7</v>
      </c>
      <c r="U42">
        <v>112.5</v>
      </c>
      <c r="V42">
        <v>111.1</v>
      </c>
      <c r="W42">
        <v>112.6</v>
      </c>
      <c r="X42">
        <v>110.4</v>
      </c>
      <c r="Y42">
        <v>111.3</v>
      </c>
      <c r="Z42">
        <v>110.3</v>
      </c>
      <c r="AA42">
        <v>111.6</v>
      </c>
      <c r="AB42">
        <v>108.7</v>
      </c>
      <c r="AC42">
        <v>111</v>
      </c>
      <c r="AD42">
        <v>113.1</v>
      </c>
    </row>
    <row r="43" spans="1:30" x14ac:dyDescent="0.3">
      <c r="A43" t="s">
        <v>34</v>
      </c>
      <c r="B43">
        <v>2014</v>
      </c>
      <c r="C43" t="s">
        <v>35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114.7</v>
      </c>
      <c r="R43">
        <v>116.4</v>
      </c>
      <c r="S43">
        <v>113.3</v>
      </c>
      <c r="T43">
        <v>115.9</v>
      </c>
      <c r="U43">
        <v>112.5</v>
      </c>
      <c r="V43">
        <v>112.4</v>
      </c>
      <c r="W43">
        <v>112.8</v>
      </c>
      <c r="X43">
        <v>110.7</v>
      </c>
      <c r="Y43">
        <v>111.1</v>
      </c>
      <c r="Z43">
        <v>110.1</v>
      </c>
      <c r="AA43">
        <v>111.8</v>
      </c>
      <c r="AB43">
        <v>108.7</v>
      </c>
      <c r="AC43">
        <v>110.9</v>
      </c>
      <c r="AD43">
        <v>113.6</v>
      </c>
    </row>
    <row r="44" spans="1:30" x14ac:dyDescent="0.3">
      <c r="A44" t="s">
        <v>30</v>
      </c>
      <c r="B44">
        <v>2014</v>
      </c>
      <c r="C44" t="s">
        <v>36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114.6</v>
      </c>
      <c r="R44">
        <v>117.5</v>
      </c>
      <c r="S44">
        <v>114.9</v>
      </c>
      <c r="T44">
        <v>117.2</v>
      </c>
      <c r="U44" t="s">
        <v>32</v>
      </c>
      <c r="V44">
        <v>113.4</v>
      </c>
      <c r="W44">
        <v>113.4</v>
      </c>
      <c r="X44">
        <v>111.4</v>
      </c>
      <c r="Y44">
        <v>111.2</v>
      </c>
      <c r="Z44">
        <v>110.2</v>
      </c>
      <c r="AA44">
        <v>112.4</v>
      </c>
      <c r="AB44">
        <v>108.9</v>
      </c>
      <c r="AC44">
        <v>111.3</v>
      </c>
      <c r="AD44">
        <v>114.6</v>
      </c>
    </row>
    <row r="45" spans="1:30" x14ac:dyDescent="0.3">
      <c r="A45" t="s">
        <v>33</v>
      </c>
      <c r="B45">
        <v>2014</v>
      </c>
      <c r="C45" t="s">
        <v>36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116.7</v>
      </c>
      <c r="R45">
        <v>115.8</v>
      </c>
      <c r="S45">
        <v>112.1</v>
      </c>
      <c r="T45">
        <v>115.2</v>
      </c>
      <c r="U45">
        <v>113.2</v>
      </c>
      <c r="V45">
        <v>110.9</v>
      </c>
      <c r="W45">
        <v>113</v>
      </c>
      <c r="X45">
        <v>110.8</v>
      </c>
      <c r="Y45">
        <v>111.6</v>
      </c>
      <c r="Z45">
        <v>110.9</v>
      </c>
      <c r="AA45">
        <v>111.8</v>
      </c>
      <c r="AB45">
        <v>109.2</v>
      </c>
      <c r="AC45">
        <v>111.4</v>
      </c>
      <c r="AD45">
        <v>113.7</v>
      </c>
    </row>
    <row r="46" spans="1:30" x14ac:dyDescent="0.3">
      <c r="A46" t="s">
        <v>34</v>
      </c>
      <c r="B46">
        <v>2014</v>
      </c>
      <c r="C46" t="s">
        <v>47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115.2</v>
      </c>
      <c r="R46">
        <v>116.8</v>
      </c>
      <c r="S46">
        <v>113.7</v>
      </c>
      <c r="T46">
        <v>116.4</v>
      </c>
      <c r="U46">
        <v>113.2</v>
      </c>
      <c r="V46">
        <v>112.5</v>
      </c>
      <c r="W46">
        <v>113.2</v>
      </c>
      <c r="X46">
        <v>111.2</v>
      </c>
      <c r="Y46">
        <v>111.4</v>
      </c>
      <c r="Z46">
        <v>110.6</v>
      </c>
      <c r="AA46">
        <v>112</v>
      </c>
      <c r="AB46">
        <v>109</v>
      </c>
      <c r="AC46">
        <v>111.3</v>
      </c>
      <c r="AD46">
        <v>114.2</v>
      </c>
    </row>
    <row r="47" spans="1:30" x14ac:dyDescent="0.3">
      <c r="A47" t="s">
        <v>30</v>
      </c>
      <c r="B47">
        <v>2014</v>
      </c>
      <c r="C47" t="s">
        <v>37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115.4</v>
      </c>
      <c r="R47">
        <v>118.1</v>
      </c>
      <c r="S47">
        <v>116.1</v>
      </c>
      <c r="T47">
        <v>117.8</v>
      </c>
      <c r="U47" t="s">
        <v>32</v>
      </c>
      <c r="V47">
        <v>113.4</v>
      </c>
      <c r="W47">
        <v>113.7</v>
      </c>
      <c r="X47">
        <v>111.8</v>
      </c>
      <c r="Y47">
        <v>111.2</v>
      </c>
      <c r="Z47">
        <v>110.5</v>
      </c>
      <c r="AA47">
        <v>113</v>
      </c>
      <c r="AB47">
        <v>108.9</v>
      </c>
      <c r="AC47">
        <v>111.5</v>
      </c>
      <c r="AD47">
        <v>115.4</v>
      </c>
    </row>
    <row r="48" spans="1:30" x14ac:dyDescent="0.3">
      <c r="A48" t="s">
        <v>33</v>
      </c>
      <c r="B48">
        <v>2014</v>
      </c>
      <c r="C48" t="s">
        <v>37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117.6</v>
      </c>
      <c r="R48">
        <v>116.3</v>
      </c>
      <c r="S48">
        <v>112.5</v>
      </c>
      <c r="T48">
        <v>115.7</v>
      </c>
      <c r="U48">
        <v>113.9</v>
      </c>
      <c r="V48">
        <v>110.9</v>
      </c>
      <c r="W48">
        <v>113.4</v>
      </c>
      <c r="X48">
        <v>111</v>
      </c>
      <c r="Y48">
        <v>111.2</v>
      </c>
      <c r="Z48">
        <v>111.2</v>
      </c>
      <c r="AA48">
        <v>112.5</v>
      </c>
      <c r="AB48">
        <v>109.1</v>
      </c>
      <c r="AC48">
        <v>111.4</v>
      </c>
      <c r="AD48">
        <v>114.7</v>
      </c>
    </row>
    <row r="49" spans="1:30" x14ac:dyDescent="0.3">
      <c r="A49" t="s">
        <v>34</v>
      </c>
      <c r="B49">
        <v>2014</v>
      </c>
      <c r="C49" t="s">
        <v>37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116</v>
      </c>
      <c r="R49">
        <v>117.4</v>
      </c>
      <c r="S49">
        <v>114.6</v>
      </c>
      <c r="T49">
        <v>117</v>
      </c>
      <c r="U49">
        <v>113.9</v>
      </c>
      <c r="V49">
        <v>112.5</v>
      </c>
      <c r="W49">
        <v>113.6</v>
      </c>
      <c r="X49">
        <v>111.5</v>
      </c>
      <c r="Y49">
        <v>111.2</v>
      </c>
      <c r="Z49">
        <v>110.9</v>
      </c>
      <c r="AA49">
        <v>112.7</v>
      </c>
      <c r="AB49">
        <v>109</v>
      </c>
      <c r="AC49">
        <v>111.5</v>
      </c>
      <c r="AD49">
        <v>115.1</v>
      </c>
    </row>
    <row r="50" spans="1:30" x14ac:dyDescent="0.3">
      <c r="A50" t="s">
        <v>30</v>
      </c>
      <c r="B50">
        <v>2014</v>
      </c>
      <c r="C50" t="s">
        <v>38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116.3</v>
      </c>
      <c r="R50">
        <v>118.7</v>
      </c>
      <c r="S50">
        <v>116.8</v>
      </c>
      <c r="T50">
        <v>118.5</v>
      </c>
      <c r="U50" t="s">
        <v>32</v>
      </c>
      <c r="V50">
        <v>113.4</v>
      </c>
      <c r="W50">
        <v>114.1</v>
      </c>
      <c r="X50">
        <v>112.1</v>
      </c>
      <c r="Y50">
        <v>111.4</v>
      </c>
      <c r="Z50">
        <v>110.9</v>
      </c>
      <c r="AA50">
        <v>113.1</v>
      </c>
      <c r="AB50">
        <v>108.9</v>
      </c>
      <c r="AC50">
        <v>111.8</v>
      </c>
      <c r="AD50">
        <v>116</v>
      </c>
    </row>
    <row r="51" spans="1:30" x14ac:dyDescent="0.3">
      <c r="A51" t="s">
        <v>33</v>
      </c>
      <c r="B51">
        <v>2014</v>
      </c>
      <c r="C51" t="s">
        <v>38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118.3</v>
      </c>
      <c r="R51">
        <v>116.8</v>
      </c>
      <c r="S51">
        <v>112.9</v>
      </c>
      <c r="T51">
        <v>116.2</v>
      </c>
      <c r="U51">
        <v>114.3</v>
      </c>
      <c r="V51">
        <v>111.1</v>
      </c>
      <c r="W51">
        <v>114.1</v>
      </c>
      <c r="X51">
        <v>111.2</v>
      </c>
      <c r="Y51">
        <v>111.3</v>
      </c>
      <c r="Z51">
        <v>111.5</v>
      </c>
      <c r="AA51">
        <v>112.9</v>
      </c>
      <c r="AB51">
        <v>109.3</v>
      </c>
      <c r="AC51">
        <v>111.7</v>
      </c>
      <c r="AD51">
        <v>115.6</v>
      </c>
    </row>
    <row r="52" spans="1:30" x14ac:dyDescent="0.3">
      <c r="A52" t="s">
        <v>34</v>
      </c>
      <c r="B52">
        <v>2014</v>
      </c>
      <c r="C52" t="s">
        <v>38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</v>
      </c>
      <c r="R52">
        <v>118</v>
      </c>
      <c r="S52">
        <v>115.2</v>
      </c>
      <c r="T52">
        <v>117.6</v>
      </c>
      <c r="U52">
        <v>114.3</v>
      </c>
      <c r="V52">
        <v>112.5</v>
      </c>
      <c r="W52">
        <v>114.1</v>
      </c>
      <c r="X52">
        <v>111.8</v>
      </c>
      <c r="Y52">
        <v>111.3</v>
      </c>
      <c r="Z52">
        <v>111.2</v>
      </c>
      <c r="AA52">
        <v>113</v>
      </c>
      <c r="AB52">
        <v>109.1</v>
      </c>
      <c r="AC52">
        <v>111.8</v>
      </c>
      <c r="AD52">
        <v>115.8</v>
      </c>
    </row>
    <row r="53" spans="1:30" x14ac:dyDescent="0.3">
      <c r="A53" t="s">
        <v>30</v>
      </c>
      <c r="B53">
        <v>2014</v>
      </c>
      <c r="C53" t="s">
        <v>39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</v>
      </c>
      <c r="R53">
        <v>119.7</v>
      </c>
      <c r="S53">
        <v>117.3</v>
      </c>
      <c r="T53">
        <v>119.3</v>
      </c>
      <c r="U53" t="s">
        <v>32</v>
      </c>
      <c r="V53">
        <v>114.4</v>
      </c>
      <c r="W53">
        <v>114.9</v>
      </c>
      <c r="X53">
        <v>112.8</v>
      </c>
      <c r="Y53">
        <v>112.2</v>
      </c>
      <c r="Z53">
        <v>111.4</v>
      </c>
      <c r="AA53">
        <v>114.3</v>
      </c>
      <c r="AB53">
        <v>108</v>
      </c>
      <c r="AC53">
        <v>112.3</v>
      </c>
      <c r="AD53">
        <v>117</v>
      </c>
    </row>
    <row r="54" spans="1:30" x14ac:dyDescent="0.3">
      <c r="A54" t="s">
        <v>33</v>
      </c>
      <c r="B54">
        <v>2014</v>
      </c>
      <c r="C54" t="s">
        <v>39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>
        <v>117.4</v>
      </c>
      <c r="S54">
        <v>113.2</v>
      </c>
      <c r="T54">
        <v>116.7</v>
      </c>
      <c r="U54">
        <v>113.9</v>
      </c>
      <c r="V54">
        <v>111.2</v>
      </c>
      <c r="W54">
        <v>114.3</v>
      </c>
      <c r="X54">
        <v>111.4</v>
      </c>
      <c r="Y54">
        <v>111.5</v>
      </c>
      <c r="Z54">
        <v>111.8</v>
      </c>
      <c r="AA54">
        <v>115.1</v>
      </c>
      <c r="AB54">
        <v>108.7</v>
      </c>
      <c r="AC54">
        <v>112.2</v>
      </c>
      <c r="AD54">
        <v>116.4</v>
      </c>
    </row>
    <row r="55" spans="1:30" x14ac:dyDescent="0.3">
      <c r="A55" t="s">
        <v>34</v>
      </c>
      <c r="B55">
        <v>2014</v>
      </c>
      <c r="C55" t="s">
        <v>39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117.8</v>
      </c>
      <c r="R55">
        <v>118.8</v>
      </c>
      <c r="S55">
        <v>115.6</v>
      </c>
      <c r="T55">
        <v>118.3</v>
      </c>
      <c r="U55">
        <v>113.9</v>
      </c>
      <c r="V55">
        <v>113.2</v>
      </c>
      <c r="W55">
        <v>114.6</v>
      </c>
      <c r="X55">
        <v>112.3</v>
      </c>
      <c r="Y55">
        <v>111.8</v>
      </c>
      <c r="Z55">
        <v>111.6</v>
      </c>
      <c r="AA55">
        <v>114.8</v>
      </c>
      <c r="AB55">
        <v>108.3</v>
      </c>
      <c r="AC55">
        <v>112.3</v>
      </c>
      <c r="AD55">
        <v>116.7</v>
      </c>
    </row>
    <row r="56" spans="1:30" x14ac:dyDescent="0.3">
      <c r="A56" t="s">
        <v>30</v>
      </c>
      <c r="B56">
        <v>2014</v>
      </c>
      <c r="C56" t="s">
        <v>40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118</v>
      </c>
      <c r="R56">
        <v>120.7</v>
      </c>
      <c r="S56">
        <v>118.3</v>
      </c>
      <c r="T56">
        <v>120.3</v>
      </c>
      <c r="U56" t="s">
        <v>32</v>
      </c>
      <c r="V56">
        <v>115.3</v>
      </c>
      <c r="W56">
        <v>115.4</v>
      </c>
      <c r="X56">
        <v>113.4</v>
      </c>
      <c r="Y56">
        <v>113.2</v>
      </c>
      <c r="Z56">
        <v>111.8</v>
      </c>
      <c r="AA56">
        <v>115.5</v>
      </c>
      <c r="AB56">
        <v>108.8</v>
      </c>
      <c r="AC56">
        <v>113.1</v>
      </c>
      <c r="AD56">
        <v>119.5</v>
      </c>
    </row>
    <row r="57" spans="1:30" x14ac:dyDescent="0.3">
      <c r="A57" t="s">
        <v>33</v>
      </c>
      <c r="B57">
        <v>2014</v>
      </c>
      <c r="C57" t="s">
        <v>40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121</v>
      </c>
      <c r="R57">
        <v>118</v>
      </c>
      <c r="S57">
        <v>113.6</v>
      </c>
      <c r="T57">
        <v>117.4</v>
      </c>
      <c r="U57">
        <v>114.8</v>
      </c>
      <c r="V57">
        <v>111.6</v>
      </c>
      <c r="W57">
        <v>114.9</v>
      </c>
      <c r="X57">
        <v>111.5</v>
      </c>
      <c r="Y57">
        <v>113</v>
      </c>
      <c r="Z57">
        <v>112.4</v>
      </c>
      <c r="AA57">
        <v>117.8</v>
      </c>
      <c r="AB57">
        <v>109.7</v>
      </c>
      <c r="AC57">
        <v>113.5</v>
      </c>
      <c r="AD57">
        <v>118.9</v>
      </c>
    </row>
    <row r="58" spans="1:30" x14ac:dyDescent="0.3">
      <c r="A58" t="s">
        <v>34</v>
      </c>
      <c r="B58">
        <v>2014</v>
      </c>
      <c r="C58" t="s">
        <v>40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118.8</v>
      </c>
      <c r="R58">
        <v>119.6</v>
      </c>
      <c r="S58">
        <v>116.3</v>
      </c>
      <c r="T58">
        <v>119.1</v>
      </c>
      <c r="U58">
        <v>114.8</v>
      </c>
      <c r="V58">
        <v>113.9</v>
      </c>
      <c r="W58">
        <v>115.2</v>
      </c>
      <c r="X58">
        <v>112.7</v>
      </c>
      <c r="Y58">
        <v>113.1</v>
      </c>
      <c r="Z58">
        <v>112.1</v>
      </c>
      <c r="AA58">
        <v>116.8</v>
      </c>
      <c r="AB58">
        <v>109.2</v>
      </c>
      <c r="AC58">
        <v>113.3</v>
      </c>
      <c r="AD58">
        <v>119.2</v>
      </c>
    </row>
    <row r="59" spans="1:30" x14ac:dyDescent="0.3">
      <c r="A59" t="s">
        <v>30</v>
      </c>
      <c r="B59">
        <v>2014</v>
      </c>
      <c r="C59" t="s">
        <v>41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118.8</v>
      </c>
      <c r="R59">
        <v>120.9</v>
      </c>
      <c r="S59">
        <v>118.8</v>
      </c>
      <c r="T59">
        <v>120.7</v>
      </c>
      <c r="U59" t="s">
        <v>32</v>
      </c>
      <c r="V59">
        <v>115.4</v>
      </c>
      <c r="W59">
        <v>115.9</v>
      </c>
      <c r="X59">
        <v>114</v>
      </c>
      <c r="Y59">
        <v>113.2</v>
      </c>
      <c r="Z59">
        <v>112.2</v>
      </c>
      <c r="AA59">
        <v>116.2</v>
      </c>
      <c r="AB59">
        <v>109.4</v>
      </c>
      <c r="AC59">
        <v>113.5</v>
      </c>
      <c r="AD59">
        <v>120.7</v>
      </c>
    </row>
    <row r="60" spans="1:30" x14ac:dyDescent="0.3">
      <c r="A60" t="s">
        <v>33</v>
      </c>
      <c r="B60">
        <v>2014</v>
      </c>
      <c r="C60" t="s">
        <v>41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123</v>
      </c>
      <c r="R60">
        <v>118.6</v>
      </c>
      <c r="S60">
        <v>114.1</v>
      </c>
      <c r="T60">
        <v>117.9</v>
      </c>
      <c r="U60">
        <v>115.5</v>
      </c>
      <c r="V60">
        <v>111.8</v>
      </c>
      <c r="W60">
        <v>115.3</v>
      </c>
      <c r="X60">
        <v>112.2</v>
      </c>
      <c r="Y60">
        <v>112.5</v>
      </c>
      <c r="Z60">
        <v>112.9</v>
      </c>
      <c r="AA60">
        <v>119.2</v>
      </c>
      <c r="AB60">
        <v>110.5</v>
      </c>
      <c r="AC60">
        <v>113.9</v>
      </c>
      <c r="AD60">
        <v>119.9</v>
      </c>
    </row>
    <row r="61" spans="1:30" x14ac:dyDescent="0.3">
      <c r="A61" t="s">
        <v>34</v>
      </c>
      <c r="B61">
        <v>2014</v>
      </c>
      <c r="C61" t="s">
        <v>41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119.9</v>
      </c>
      <c r="R61">
        <v>120</v>
      </c>
      <c r="S61">
        <v>116.8</v>
      </c>
      <c r="T61">
        <v>119.6</v>
      </c>
      <c r="U61">
        <v>115.5</v>
      </c>
      <c r="V61">
        <v>114</v>
      </c>
      <c r="W61">
        <v>115.6</v>
      </c>
      <c r="X61">
        <v>113.3</v>
      </c>
      <c r="Y61">
        <v>112.8</v>
      </c>
      <c r="Z61">
        <v>112.6</v>
      </c>
      <c r="AA61">
        <v>118</v>
      </c>
      <c r="AB61">
        <v>109.9</v>
      </c>
      <c r="AC61">
        <v>113.7</v>
      </c>
      <c r="AD61">
        <v>120.3</v>
      </c>
    </row>
    <row r="62" spans="1:30" x14ac:dyDescent="0.3">
      <c r="A62" t="s">
        <v>30</v>
      </c>
      <c r="B62">
        <v>2014</v>
      </c>
      <c r="C62" t="s">
        <v>42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119.5</v>
      </c>
      <c r="R62">
        <v>121.7</v>
      </c>
      <c r="S62">
        <v>119.2</v>
      </c>
      <c r="T62">
        <v>121.3</v>
      </c>
      <c r="U62" t="s">
        <v>32</v>
      </c>
      <c r="V62">
        <v>115.8</v>
      </c>
      <c r="W62">
        <v>116.7</v>
      </c>
      <c r="X62">
        <v>114.5</v>
      </c>
      <c r="Y62">
        <v>112.8</v>
      </c>
      <c r="Z62">
        <v>112.6</v>
      </c>
      <c r="AA62">
        <v>116.6</v>
      </c>
      <c r="AB62">
        <v>109.1</v>
      </c>
      <c r="AC62">
        <v>113.7</v>
      </c>
      <c r="AD62">
        <v>120.9</v>
      </c>
    </row>
    <row r="63" spans="1:30" x14ac:dyDescent="0.3">
      <c r="A63" t="s">
        <v>33</v>
      </c>
      <c r="B63">
        <v>2014</v>
      </c>
      <c r="C63" t="s">
        <v>42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124.3</v>
      </c>
      <c r="R63">
        <v>119.2</v>
      </c>
      <c r="S63">
        <v>114.5</v>
      </c>
      <c r="T63">
        <v>118.4</v>
      </c>
      <c r="U63">
        <v>116.1</v>
      </c>
      <c r="V63">
        <v>111.8</v>
      </c>
      <c r="W63">
        <v>115.5</v>
      </c>
      <c r="X63">
        <v>112.3</v>
      </c>
      <c r="Y63">
        <v>111.2</v>
      </c>
      <c r="Z63">
        <v>113.4</v>
      </c>
      <c r="AA63">
        <v>120</v>
      </c>
      <c r="AB63">
        <v>110</v>
      </c>
      <c r="AC63">
        <v>113.6</v>
      </c>
      <c r="AD63">
        <v>119.2</v>
      </c>
    </row>
    <row r="64" spans="1:30" x14ac:dyDescent="0.3">
      <c r="A64" t="s">
        <v>34</v>
      </c>
      <c r="B64">
        <v>2014</v>
      </c>
      <c r="C64" t="s">
        <v>42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120.8</v>
      </c>
      <c r="R64">
        <v>120.7</v>
      </c>
      <c r="S64">
        <v>117.2</v>
      </c>
      <c r="T64">
        <v>120.1</v>
      </c>
      <c r="U64">
        <v>116.1</v>
      </c>
      <c r="V64">
        <v>114.3</v>
      </c>
      <c r="W64">
        <v>116.1</v>
      </c>
      <c r="X64">
        <v>113.7</v>
      </c>
      <c r="Y64">
        <v>112</v>
      </c>
      <c r="Z64">
        <v>113.1</v>
      </c>
      <c r="AA64">
        <v>118.6</v>
      </c>
      <c r="AB64">
        <v>109.5</v>
      </c>
      <c r="AC64">
        <v>113.7</v>
      </c>
      <c r="AD64">
        <v>120.1</v>
      </c>
    </row>
    <row r="65" spans="1:30" x14ac:dyDescent="0.3">
      <c r="A65" t="s">
        <v>30</v>
      </c>
      <c r="B65">
        <v>2014</v>
      </c>
      <c r="C65" t="s">
        <v>43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120</v>
      </c>
      <c r="R65">
        <v>122.7</v>
      </c>
      <c r="S65">
        <v>120.3</v>
      </c>
      <c r="T65">
        <v>122.3</v>
      </c>
      <c r="U65" t="s">
        <v>32</v>
      </c>
      <c r="V65">
        <v>116.4</v>
      </c>
      <c r="W65">
        <v>117.5</v>
      </c>
      <c r="X65">
        <v>115.3</v>
      </c>
      <c r="Y65">
        <v>112.6</v>
      </c>
      <c r="Z65">
        <v>113</v>
      </c>
      <c r="AA65">
        <v>116.9</v>
      </c>
      <c r="AB65">
        <v>109.3</v>
      </c>
      <c r="AC65">
        <v>114</v>
      </c>
      <c r="AD65">
        <v>121</v>
      </c>
    </row>
    <row r="66" spans="1:30" x14ac:dyDescent="0.3">
      <c r="A66" t="s">
        <v>33</v>
      </c>
      <c r="B66">
        <v>2014</v>
      </c>
      <c r="C66" t="s">
        <v>43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124.3</v>
      </c>
      <c r="R66">
        <v>119.6</v>
      </c>
      <c r="S66">
        <v>114.9</v>
      </c>
      <c r="T66">
        <v>118.9</v>
      </c>
      <c r="U66">
        <v>116.7</v>
      </c>
      <c r="V66">
        <v>112</v>
      </c>
      <c r="W66">
        <v>115.8</v>
      </c>
      <c r="X66">
        <v>112.6</v>
      </c>
      <c r="Y66">
        <v>111</v>
      </c>
      <c r="Z66">
        <v>113.6</v>
      </c>
      <c r="AA66">
        <v>120.2</v>
      </c>
      <c r="AB66">
        <v>110.1</v>
      </c>
      <c r="AC66">
        <v>113.7</v>
      </c>
      <c r="AD66">
        <v>119.1</v>
      </c>
    </row>
    <row r="67" spans="1:30" x14ac:dyDescent="0.3">
      <c r="A67" t="s">
        <v>34</v>
      </c>
      <c r="B67">
        <v>2014</v>
      </c>
      <c r="C67" t="s">
        <v>43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121.1</v>
      </c>
      <c r="R67">
        <v>121.5</v>
      </c>
      <c r="S67">
        <v>118.1</v>
      </c>
      <c r="T67">
        <v>121</v>
      </c>
      <c r="U67">
        <v>116.7</v>
      </c>
      <c r="V67">
        <v>114.7</v>
      </c>
      <c r="W67">
        <v>116.7</v>
      </c>
      <c r="X67">
        <v>114.3</v>
      </c>
      <c r="Y67">
        <v>111.8</v>
      </c>
      <c r="Z67">
        <v>113.3</v>
      </c>
      <c r="AA67">
        <v>118.8</v>
      </c>
      <c r="AB67">
        <v>109.6</v>
      </c>
      <c r="AC67">
        <v>113.9</v>
      </c>
      <c r="AD67">
        <v>120.1</v>
      </c>
    </row>
    <row r="68" spans="1:30" x14ac:dyDescent="0.3">
      <c r="A68" t="s">
        <v>30</v>
      </c>
      <c r="B68">
        <v>2014</v>
      </c>
      <c r="C68" t="s">
        <v>45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120.8</v>
      </c>
      <c r="R68">
        <v>123.3</v>
      </c>
      <c r="S68">
        <v>120.5</v>
      </c>
      <c r="T68">
        <v>122.9</v>
      </c>
      <c r="U68" t="s">
        <v>32</v>
      </c>
      <c r="V68">
        <v>117.3</v>
      </c>
      <c r="W68">
        <v>118.1</v>
      </c>
      <c r="X68">
        <v>115.9</v>
      </c>
      <c r="Y68">
        <v>112</v>
      </c>
      <c r="Z68">
        <v>113.3</v>
      </c>
      <c r="AA68">
        <v>117.2</v>
      </c>
      <c r="AB68">
        <v>108.8</v>
      </c>
      <c r="AC68">
        <v>114.1</v>
      </c>
      <c r="AD68">
        <v>121.1</v>
      </c>
    </row>
    <row r="69" spans="1:30" x14ac:dyDescent="0.3">
      <c r="A69" t="s">
        <v>33</v>
      </c>
      <c r="B69">
        <v>2014</v>
      </c>
      <c r="C69" t="s">
        <v>45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125.8</v>
      </c>
      <c r="R69">
        <v>120.3</v>
      </c>
      <c r="S69">
        <v>115.4</v>
      </c>
      <c r="T69">
        <v>119.5</v>
      </c>
      <c r="U69">
        <v>117.1</v>
      </c>
      <c r="V69">
        <v>112.6</v>
      </c>
      <c r="W69">
        <v>116.4</v>
      </c>
      <c r="X69">
        <v>113</v>
      </c>
      <c r="Y69">
        <v>109.7</v>
      </c>
      <c r="Z69">
        <v>114</v>
      </c>
      <c r="AA69">
        <v>120.3</v>
      </c>
      <c r="AB69">
        <v>109.6</v>
      </c>
      <c r="AC69">
        <v>113.4</v>
      </c>
      <c r="AD69">
        <v>119</v>
      </c>
    </row>
    <row r="70" spans="1:30" x14ac:dyDescent="0.3">
      <c r="A70" t="s">
        <v>34</v>
      </c>
      <c r="B70">
        <v>2014</v>
      </c>
      <c r="C70" t="s">
        <v>45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122.1</v>
      </c>
      <c r="R70">
        <v>122.1</v>
      </c>
      <c r="S70">
        <v>118.4</v>
      </c>
      <c r="T70">
        <v>121.6</v>
      </c>
      <c r="U70">
        <v>117.1</v>
      </c>
      <c r="V70">
        <v>115.5</v>
      </c>
      <c r="W70">
        <v>117.3</v>
      </c>
      <c r="X70">
        <v>114.8</v>
      </c>
      <c r="Y70">
        <v>110.8</v>
      </c>
      <c r="Z70">
        <v>113.7</v>
      </c>
      <c r="AA70">
        <v>119</v>
      </c>
      <c r="AB70">
        <v>109.1</v>
      </c>
      <c r="AC70">
        <v>113.8</v>
      </c>
      <c r="AD70">
        <v>120.1</v>
      </c>
    </row>
    <row r="71" spans="1:30" x14ac:dyDescent="0.3">
      <c r="A71" t="s">
        <v>30</v>
      </c>
      <c r="B71">
        <v>2014</v>
      </c>
      <c r="C71" t="s">
        <v>46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121.7</v>
      </c>
      <c r="R71">
        <v>123.8</v>
      </c>
      <c r="S71">
        <v>120.6</v>
      </c>
      <c r="T71">
        <v>123.3</v>
      </c>
      <c r="U71" t="s">
        <v>32</v>
      </c>
      <c r="V71">
        <v>117.4</v>
      </c>
      <c r="W71">
        <v>118.2</v>
      </c>
      <c r="X71">
        <v>116.2</v>
      </c>
      <c r="Y71">
        <v>111.5</v>
      </c>
      <c r="Z71">
        <v>113.3</v>
      </c>
      <c r="AA71">
        <v>117.7</v>
      </c>
      <c r="AB71">
        <v>109.4</v>
      </c>
      <c r="AC71">
        <v>114.2</v>
      </c>
      <c r="AD71">
        <v>120.3</v>
      </c>
    </row>
    <row r="72" spans="1:30" x14ac:dyDescent="0.3">
      <c r="A72" t="s">
        <v>33</v>
      </c>
      <c r="B72">
        <v>2014</v>
      </c>
      <c r="C72" t="s">
        <v>46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126.4</v>
      </c>
      <c r="R72">
        <v>120.7</v>
      </c>
      <c r="S72">
        <v>115.8</v>
      </c>
      <c r="T72">
        <v>120</v>
      </c>
      <c r="U72">
        <v>116.5</v>
      </c>
      <c r="V72">
        <v>113</v>
      </c>
      <c r="W72">
        <v>116.8</v>
      </c>
      <c r="X72">
        <v>113.2</v>
      </c>
      <c r="Y72">
        <v>108.8</v>
      </c>
      <c r="Z72">
        <v>114.3</v>
      </c>
      <c r="AA72">
        <v>120.7</v>
      </c>
      <c r="AB72">
        <v>110.4</v>
      </c>
      <c r="AC72">
        <v>113.4</v>
      </c>
      <c r="AD72">
        <v>118.4</v>
      </c>
    </row>
    <row r="73" spans="1:30" x14ac:dyDescent="0.3">
      <c r="A73" t="s">
        <v>34</v>
      </c>
      <c r="B73">
        <v>2014</v>
      </c>
      <c r="C73" t="s">
        <v>46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123</v>
      </c>
      <c r="R73">
        <v>122.6</v>
      </c>
      <c r="S73">
        <v>118.6</v>
      </c>
      <c r="T73">
        <v>122</v>
      </c>
      <c r="U73">
        <v>116.5</v>
      </c>
      <c r="V73">
        <v>115.7</v>
      </c>
      <c r="W73">
        <v>117.5</v>
      </c>
      <c r="X73">
        <v>115.1</v>
      </c>
      <c r="Y73">
        <v>110.1</v>
      </c>
      <c r="Z73">
        <v>113.9</v>
      </c>
      <c r="AA73">
        <v>119.5</v>
      </c>
      <c r="AB73">
        <v>109.8</v>
      </c>
      <c r="AC73">
        <v>113.8</v>
      </c>
      <c r="AD73">
        <v>119.4</v>
      </c>
    </row>
    <row r="74" spans="1:30" x14ac:dyDescent="0.3">
      <c r="A74" t="s">
        <v>30</v>
      </c>
      <c r="B74">
        <v>2015</v>
      </c>
      <c r="C74" t="s">
        <v>31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122.7</v>
      </c>
      <c r="R74">
        <v>124.4</v>
      </c>
      <c r="S74">
        <v>121.6</v>
      </c>
      <c r="T74">
        <v>124</v>
      </c>
      <c r="U74" t="s">
        <v>32</v>
      </c>
      <c r="V74">
        <v>118.4</v>
      </c>
      <c r="W74">
        <v>118.9</v>
      </c>
      <c r="X74">
        <v>116.6</v>
      </c>
      <c r="Y74">
        <v>111</v>
      </c>
      <c r="Z74">
        <v>114</v>
      </c>
      <c r="AA74">
        <v>118.2</v>
      </c>
      <c r="AB74">
        <v>110.2</v>
      </c>
      <c r="AC74">
        <v>114.5</v>
      </c>
      <c r="AD74">
        <v>120.3</v>
      </c>
    </row>
    <row r="75" spans="1:30" x14ac:dyDescent="0.3">
      <c r="A75" t="s">
        <v>33</v>
      </c>
      <c r="B75">
        <v>2015</v>
      </c>
      <c r="C75" t="s">
        <v>31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127.4</v>
      </c>
      <c r="R75">
        <v>121</v>
      </c>
      <c r="S75">
        <v>116.1</v>
      </c>
      <c r="T75">
        <v>120.2</v>
      </c>
      <c r="U75">
        <v>117.3</v>
      </c>
      <c r="V75">
        <v>113.4</v>
      </c>
      <c r="W75">
        <v>117.2</v>
      </c>
      <c r="X75">
        <v>113.7</v>
      </c>
      <c r="Y75">
        <v>107.9</v>
      </c>
      <c r="Z75">
        <v>114.6</v>
      </c>
      <c r="AA75">
        <v>120.8</v>
      </c>
      <c r="AB75">
        <v>111.4</v>
      </c>
      <c r="AC75">
        <v>113.4</v>
      </c>
      <c r="AD75">
        <v>118.5</v>
      </c>
    </row>
    <row r="76" spans="1:30" x14ac:dyDescent="0.3">
      <c r="A76" t="s">
        <v>34</v>
      </c>
      <c r="B76">
        <v>2015</v>
      </c>
      <c r="C76" t="s">
        <v>31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124</v>
      </c>
      <c r="R76">
        <v>123.1</v>
      </c>
      <c r="S76">
        <v>119.3</v>
      </c>
      <c r="T76">
        <v>122.5</v>
      </c>
      <c r="U76">
        <v>117.3</v>
      </c>
      <c r="V76">
        <v>116.5</v>
      </c>
      <c r="W76">
        <v>118.1</v>
      </c>
      <c r="X76">
        <v>115.5</v>
      </c>
      <c r="Y76">
        <v>109.4</v>
      </c>
      <c r="Z76">
        <v>114.3</v>
      </c>
      <c r="AA76">
        <v>119.7</v>
      </c>
      <c r="AB76">
        <v>110.7</v>
      </c>
      <c r="AC76">
        <v>114</v>
      </c>
      <c r="AD76">
        <v>119.5</v>
      </c>
    </row>
    <row r="77" spans="1:30" x14ac:dyDescent="0.3">
      <c r="A77" t="s">
        <v>30</v>
      </c>
      <c r="B77">
        <v>2015</v>
      </c>
      <c r="C77" t="s">
        <v>35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124.2</v>
      </c>
      <c r="R77">
        <v>125.4</v>
      </c>
      <c r="S77">
        <v>122.7</v>
      </c>
      <c r="T77">
        <v>125</v>
      </c>
      <c r="U77" t="s">
        <v>32</v>
      </c>
      <c r="V77">
        <v>120</v>
      </c>
      <c r="W77">
        <v>119.6</v>
      </c>
      <c r="X77">
        <v>117.7</v>
      </c>
      <c r="Y77">
        <v>110.9</v>
      </c>
      <c r="Z77">
        <v>114.8</v>
      </c>
      <c r="AA77">
        <v>118.7</v>
      </c>
      <c r="AB77">
        <v>110.8</v>
      </c>
      <c r="AC77">
        <v>115</v>
      </c>
      <c r="AD77">
        <v>120.6</v>
      </c>
    </row>
    <row r="78" spans="1:30" x14ac:dyDescent="0.3">
      <c r="A78" t="s">
        <v>33</v>
      </c>
      <c r="B78">
        <v>2015</v>
      </c>
      <c r="C78" t="s">
        <v>35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128.1</v>
      </c>
      <c r="R78">
        <v>121.3</v>
      </c>
      <c r="S78">
        <v>116.5</v>
      </c>
      <c r="T78">
        <v>120.6</v>
      </c>
      <c r="U78">
        <v>118.1</v>
      </c>
      <c r="V78">
        <v>114</v>
      </c>
      <c r="W78">
        <v>117.7</v>
      </c>
      <c r="X78">
        <v>114.1</v>
      </c>
      <c r="Y78">
        <v>106.8</v>
      </c>
      <c r="Z78">
        <v>114.9</v>
      </c>
      <c r="AA78">
        <v>120.4</v>
      </c>
      <c r="AB78">
        <v>111.7</v>
      </c>
      <c r="AC78">
        <v>113.2</v>
      </c>
      <c r="AD78">
        <v>118.7</v>
      </c>
    </row>
    <row r="79" spans="1:30" x14ac:dyDescent="0.3">
      <c r="A79" t="s">
        <v>34</v>
      </c>
      <c r="B79">
        <v>2015</v>
      </c>
      <c r="C79" t="s">
        <v>35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125.2</v>
      </c>
      <c r="R79">
        <v>123.8</v>
      </c>
      <c r="S79">
        <v>120.1</v>
      </c>
      <c r="T79">
        <v>123.3</v>
      </c>
      <c r="U79">
        <v>118.1</v>
      </c>
      <c r="V79">
        <v>117.7</v>
      </c>
      <c r="W79">
        <v>118.7</v>
      </c>
      <c r="X79">
        <v>116.3</v>
      </c>
      <c r="Y79">
        <v>108.7</v>
      </c>
      <c r="Z79">
        <v>114.9</v>
      </c>
      <c r="AA79">
        <v>119.7</v>
      </c>
      <c r="AB79">
        <v>111.2</v>
      </c>
      <c r="AC79">
        <v>114.1</v>
      </c>
      <c r="AD79">
        <v>119.7</v>
      </c>
    </row>
    <row r="80" spans="1:30" x14ac:dyDescent="0.3">
      <c r="A80" t="s">
        <v>30</v>
      </c>
      <c r="B80">
        <v>2015</v>
      </c>
      <c r="C80" t="s">
        <v>36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124.7</v>
      </c>
      <c r="R80">
        <v>126</v>
      </c>
      <c r="S80">
        <v>122.9</v>
      </c>
      <c r="T80">
        <v>125.5</v>
      </c>
      <c r="U80" t="s">
        <v>32</v>
      </c>
      <c r="V80">
        <v>120.6</v>
      </c>
      <c r="W80">
        <v>120.2</v>
      </c>
      <c r="X80">
        <v>118.2</v>
      </c>
      <c r="Y80">
        <v>111.6</v>
      </c>
      <c r="Z80">
        <v>115.5</v>
      </c>
      <c r="AA80">
        <v>119.4</v>
      </c>
      <c r="AB80">
        <v>110.8</v>
      </c>
      <c r="AC80">
        <v>115.5</v>
      </c>
      <c r="AD80">
        <v>121.1</v>
      </c>
    </row>
    <row r="81" spans="1:30" x14ac:dyDescent="0.3">
      <c r="A81" t="s">
        <v>33</v>
      </c>
      <c r="B81">
        <v>2015</v>
      </c>
      <c r="C81" t="s">
        <v>36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128.80000000000001</v>
      </c>
      <c r="R81">
        <v>121.7</v>
      </c>
      <c r="S81">
        <v>116.9</v>
      </c>
      <c r="T81">
        <v>120.9</v>
      </c>
      <c r="U81">
        <v>118.6</v>
      </c>
      <c r="V81">
        <v>114.4</v>
      </c>
      <c r="W81">
        <v>118</v>
      </c>
      <c r="X81">
        <v>114.3</v>
      </c>
      <c r="Y81">
        <v>108.4</v>
      </c>
      <c r="Z81">
        <v>115.4</v>
      </c>
      <c r="AA81">
        <v>120.6</v>
      </c>
      <c r="AB81">
        <v>111.3</v>
      </c>
      <c r="AC81">
        <v>113.8</v>
      </c>
      <c r="AD81">
        <v>119.1</v>
      </c>
    </row>
    <row r="82" spans="1:30" x14ac:dyDescent="0.3">
      <c r="A82" t="s">
        <v>34</v>
      </c>
      <c r="B82">
        <v>2015</v>
      </c>
      <c r="C82" t="s">
        <v>36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125.8</v>
      </c>
      <c r="R82">
        <v>124.3</v>
      </c>
      <c r="S82">
        <v>120.4</v>
      </c>
      <c r="T82">
        <v>123.7</v>
      </c>
      <c r="U82">
        <v>118.6</v>
      </c>
      <c r="V82">
        <v>118.3</v>
      </c>
      <c r="W82">
        <v>119.2</v>
      </c>
      <c r="X82">
        <v>116.7</v>
      </c>
      <c r="Y82">
        <v>109.9</v>
      </c>
      <c r="Z82">
        <v>115.4</v>
      </c>
      <c r="AA82">
        <v>120.1</v>
      </c>
      <c r="AB82">
        <v>111</v>
      </c>
      <c r="AC82">
        <v>114.7</v>
      </c>
      <c r="AD82">
        <v>120.2</v>
      </c>
    </row>
    <row r="83" spans="1:30" x14ac:dyDescent="0.3">
      <c r="A83" t="s">
        <v>30</v>
      </c>
      <c r="B83">
        <v>2015</v>
      </c>
      <c r="C83" t="s">
        <v>37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125.7</v>
      </c>
      <c r="R83">
        <v>126.4</v>
      </c>
      <c r="S83">
        <v>123.3</v>
      </c>
      <c r="T83">
        <v>126</v>
      </c>
      <c r="U83" t="s">
        <v>32</v>
      </c>
      <c r="V83">
        <v>121.2</v>
      </c>
      <c r="W83">
        <v>120.9</v>
      </c>
      <c r="X83">
        <v>118.6</v>
      </c>
      <c r="Y83">
        <v>111.9</v>
      </c>
      <c r="Z83">
        <v>116.2</v>
      </c>
      <c r="AA83">
        <v>119.9</v>
      </c>
      <c r="AB83">
        <v>111.6</v>
      </c>
      <c r="AC83">
        <v>116</v>
      </c>
      <c r="AD83">
        <v>121.5</v>
      </c>
    </row>
    <row r="84" spans="1:30" x14ac:dyDescent="0.3">
      <c r="A84" t="s">
        <v>33</v>
      </c>
      <c r="B84">
        <v>2015</v>
      </c>
      <c r="C84" t="s">
        <v>37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130.1</v>
      </c>
      <c r="R84">
        <v>122.1</v>
      </c>
      <c r="S84">
        <v>117.2</v>
      </c>
      <c r="T84">
        <v>121.3</v>
      </c>
      <c r="U84">
        <v>119.2</v>
      </c>
      <c r="V84">
        <v>114.7</v>
      </c>
      <c r="W84">
        <v>118.4</v>
      </c>
      <c r="X84">
        <v>114.6</v>
      </c>
      <c r="Y84">
        <v>108.4</v>
      </c>
      <c r="Z84">
        <v>115.6</v>
      </c>
      <c r="AA84">
        <v>121.7</v>
      </c>
      <c r="AB84">
        <v>111.8</v>
      </c>
      <c r="AC84">
        <v>114.2</v>
      </c>
      <c r="AD84">
        <v>119.7</v>
      </c>
    </row>
    <row r="85" spans="1:30" x14ac:dyDescent="0.3">
      <c r="A85" t="s">
        <v>34</v>
      </c>
      <c r="B85">
        <v>2015</v>
      </c>
      <c r="C85" t="s">
        <v>37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126.9</v>
      </c>
      <c r="R85">
        <v>124.7</v>
      </c>
      <c r="S85">
        <v>120.8</v>
      </c>
      <c r="T85">
        <v>124.1</v>
      </c>
      <c r="U85">
        <v>119.2</v>
      </c>
      <c r="V85">
        <v>118.7</v>
      </c>
      <c r="W85">
        <v>119.7</v>
      </c>
      <c r="X85">
        <v>117.1</v>
      </c>
      <c r="Y85">
        <v>110.1</v>
      </c>
      <c r="Z85">
        <v>115.9</v>
      </c>
      <c r="AA85">
        <v>121</v>
      </c>
      <c r="AB85">
        <v>111.7</v>
      </c>
      <c r="AC85">
        <v>115.1</v>
      </c>
      <c r="AD85">
        <v>120.7</v>
      </c>
    </row>
    <row r="86" spans="1:30" x14ac:dyDescent="0.3">
      <c r="A86" t="s">
        <v>30</v>
      </c>
      <c r="B86">
        <v>2015</v>
      </c>
      <c r="C86" t="s">
        <v>38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126.7</v>
      </c>
      <c r="R86">
        <v>127.3</v>
      </c>
      <c r="S86">
        <v>124.1</v>
      </c>
      <c r="T86">
        <v>126.8</v>
      </c>
      <c r="U86" t="s">
        <v>32</v>
      </c>
      <c r="V86">
        <v>121.9</v>
      </c>
      <c r="W86">
        <v>121.5</v>
      </c>
      <c r="X86">
        <v>119.4</v>
      </c>
      <c r="Y86">
        <v>113.3</v>
      </c>
      <c r="Z86">
        <v>116.7</v>
      </c>
      <c r="AA86">
        <v>120.5</v>
      </c>
      <c r="AB86">
        <v>112.3</v>
      </c>
      <c r="AC86">
        <v>116.9</v>
      </c>
      <c r="AD86">
        <v>122.4</v>
      </c>
    </row>
    <row r="87" spans="1:30" x14ac:dyDescent="0.3">
      <c r="A87" t="s">
        <v>33</v>
      </c>
      <c r="B87">
        <v>2015</v>
      </c>
      <c r="C87" t="s">
        <v>38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131.30000000000001</v>
      </c>
      <c r="R87">
        <v>122.4</v>
      </c>
      <c r="S87">
        <v>117.4</v>
      </c>
      <c r="T87">
        <v>121.6</v>
      </c>
      <c r="U87">
        <v>119.6</v>
      </c>
      <c r="V87">
        <v>114.9</v>
      </c>
      <c r="W87">
        <v>118.7</v>
      </c>
      <c r="X87">
        <v>114.9</v>
      </c>
      <c r="Y87">
        <v>110.8</v>
      </c>
      <c r="Z87">
        <v>116</v>
      </c>
      <c r="AA87">
        <v>122</v>
      </c>
      <c r="AB87">
        <v>112.4</v>
      </c>
      <c r="AC87">
        <v>115.2</v>
      </c>
      <c r="AD87">
        <v>120.7</v>
      </c>
    </row>
    <row r="88" spans="1:30" x14ac:dyDescent="0.3">
      <c r="A88" t="s">
        <v>34</v>
      </c>
      <c r="B88">
        <v>2015</v>
      </c>
      <c r="C88" t="s">
        <v>38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127.9</v>
      </c>
      <c r="R88">
        <v>125.4</v>
      </c>
      <c r="S88">
        <v>121.3</v>
      </c>
      <c r="T88">
        <v>124.7</v>
      </c>
      <c r="U88">
        <v>119.6</v>
      </c>
      <c r="V88">
        <v>119.2</v>
      </c>
      <c r="W88">
        <v>120.2</v>
      </c>
      <c r="X88">
        <v>117.7</v>
      </c>
      <c r="Y88">
        <v>112</v>
      </c>
      <c r="Z88">
        <v>116.3</v>
      </c>
      <c r="AA88">
        <v>121.4</v>
      </c>
      <c r="AB88">
        <v>112.3</v>
      </c>
      <c r="AC88">
        <v>116.1</v>
      </c>
      <c r="AD88">
        <v>121.6</v>
      </c>
    </row>
    <row r="89" spans="1:30" x14ac:dyDescent="0.3">
      <c r="A89" t="s">
        <v>30</v>
      </c>
      <c r="B89">
        <v>2015</v>
      </c>
      <c r="C89" t="s">
        <v>39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128.19999999999999</v>
      </c>
      <c r="R89">
        <v>128.4</v>
      </c>
      <c r="S89">
        <v>125.1</v>
      </c>
      <c r="T89">
        <v>128</v>
      </c>
      <c r="U89" t="s">
        <v>32</v>
      </c>
      <c r="V89">
        <v>122.6</v>
      </c>
      <c r="W89">
        <v>122.8</v>
      </c>
      <c r="X89">
        <v>120.4</v>
      </c>
      <c r="Y89">
        <v>114.2</v>
      </c>
      <c r="Z89">
        <v>117.9</v>
      </c>
      <c r="AA89">
        <v>122</v>
      </c>
      <c r="AB89">
        <v>113</v>
      </c>
      <c r="AC89">
        <v>117.9</v>
      </c>
      <c r="AD89">
        <v>124.1</v>
      </c>
    </row>
    <row r="90" spans="1:30" x14ac:dyDescent="0.3">
      <c r="A90" t="s">
        <v>33</v>
      </c>
      <c r="B90">
        <v>2015</v>
      </c>
      <c r="C90" t="s">
        <v>39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132.1</v>
      </c>
      <c r="R90">
        <v>123.2</v>
      </c>
      <c r="S90">
        <v>117.6</v>
      </c>
      <c r="T90">
        <v>122.3</v>
      </c>
      <c r="U90">
        <v>119</v>
      </c>
      <c r="V90">
        <v>115.1</v>
      </c>
      <c r="W90">
        <v>119.2</v>
      </c>
      <c r="X90">
        <v>115.4</v>
      </c>
      <c r="Y90">
        <v>111.7</v>
      </c>
      <c r="Z90">
        <v>116.2</v>
      </c>
      <c r="AA90">
        <v>123.8</v>
      </c>
      <c r="AB90">
        <v>112.5</v>
      </c>
      <c r="AC90">
        <v>116</v>
      </c>
      <c r="AD90">
        <v>121.7</v>
      </c>
    </row>
    <row r="91" spans="1:30" x14ac:dyDescent="0.3">
      <c r="A91" t="s">
        <v>34</v>
      </c>
      <c r="B91">
        <v>2015</v>
      </c>
      <c r="C91" t="s">
        <v>39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129.19999999999999</v>
      </c>
      <c r="R91">
        <v>126.4</v>
      </c>
      <c r="S91">
        <v>122</v>
      </c>
      <c r="T91">
        <v>125.7</v>
      </c>
      <c r="U91">
        <v>119</v>
      </c>
      <c r="V91">
        <v>119.8</v>
      </c>
      <c r="W91">
        <v>121.1</v>
      </c>
      <c r="X91">
        <v>118.5</v>
      </c>
      <c r="Y91">
        <v>112.9</v>
      </c>
      <c r="Z91">
        <v>116.9</v>
      </c>
      <c r="AA91">
        <v>123.1</v>
      </c>
      <c r="AB91">
        <v>112.8</v>
      </c>
      <c r="AC91">
        <v>117</v>
      </c>
      <c r="AD91">
        <v>123</v>
      </c>
    </row>
    <row r="92" spans="1:30" x14ac:dyDescent="0.3">
      <c r="A92" t="s">
        <v>30</v>
      </c>
      <c r="B92">
        <v>2015</v>
      </c>
      <c r="C92" t="s">
        <v>40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129.4</v>
      </c>
      <c r="R92">
        <v>128.80000000000001</v>
      </c>
      <c r="S92">
        <v>125.5</v>
      </c>
      <c r="T92">
        <v>128.30000000000001</v>
      </c>
      <c r="U92" t="s">
        <v>32</v>
      </c>
      <c r="V92">
        <v>123</v>
      </c>
      <c r="W92">
        <v>123</v>
      </c>
      <c r="X92">
        <v>120.8</v>
      </c>
      <c r="Y92">
        <v>114.1</v>
      </c>
      <c r="Z92">
        <v>118</v>
      </c>
      <c r="AA92">
        <v>122.9</v>
      </c>
      <c r="AB92">
        <v>112.7</v>
      </c>
      <c r="AC92">
        <v>118.1</v>
      </c>
      <c r="AD92">
        <v>124.7</v>
      </c>
    </row>
    <row r="93" spans="1:30" x14ac:dyDescent="0.3">
      <c r="A93" t="s">
        <v>33</v>
      </c>
      <c r="B93">
        <v>2015</v>
      </c>
      <c r="C93" t="s">
        <v>40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133.1</v>
      </c>
      <c r="R93">
        <v>123.5</v>
      </c>
      <c r="S93">
        <v>117.9</v>
      </c>
      <c r="T93">
        <v>122.7</v>
      </c>
      <c r="U93">
        <v>119.9</v>
      </c>
      <c r="V93">
        <v>115.3</v>
      </c>
      <c r="W93">
        <v>119.5</v>
      </c>
      <c r="X93">
        <v>116</v>
      </c>
      <c r="Y93">
        <v>111.5</v>
      </c>
      <c r="Z93">
        <v>116.6</v>
      </c>
      <c r="AA93">
        <v>125.4</v>
      </c>
      <c r="AB93">
        <v>111.7</v>
      </c>
      <c r="AC93">
        <v>116.3</v>
      </c>
      <c r="AD93">
        <v>122.4</v>
      </c>
    </row>
    <row r="94" spans="1:30" x14ac:dyDescent="0.3">
      <c r="A94" t="s">
        <v>34</v>
      </c>
      <c r="B94">
        <v>2015</v>
      </c>
      <c r="C94" t="s">
        <v>40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130.4</v>
      </c>
      <c r="R94">
        <v>126.7</v>
      </c>
      <c r="S94">
        <v>122.3</v>
      </c>
      <c r="T94">
        <v>126.1</v>
      </c>
      <c r="U94">
        <v>119.9</v>
      </c>
      <c r="V94">
        <v>120.1</v>
      </c>
      <c r="W94">
        <v>121.3</v>
      </c>
      <c r="X94">
        <v>119</v>
      </c>
      <c r="Y94">
        <v>112.7</v>
      </c>
      <c r="Z94">
        <v>117.2</v>
      </c>
      <c r="AA94">
        <v>124.4</v>
      </c>
      <c r="AB94">
        <v>112.3</v>
      </c>
      <c r="AC94">
        <v>117.2</v>
      </c>
      <c r="AD94">
        <v>123.6</v>
      </c>
    </row>
    <row r="95" spans="1:30" x14ac:dyDescent="0.3">
      <c r="A95" t="s">
        <v>30</v>
      </c>
      <c r="B95">
        <v>2015</v>
      </c>
      <c r="C95" t="s">
        <v>41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130.1</v>
      </c>
      <c r="R95">
        <v>129.5</v>
      </c>
      <c r="S95">
        <v>126.3</v>
      </c>
      <c r="T95">
        <v>129</v>
      </c>
      <c r="U95" t="s">
        <v>32</v>
      </c>
      <c r="V95">
        <v>123.8</v>
      </c>
      <c r="W95">
        <v>123.7</v>
      </c>
      <c r="X95">
        <v>121.1</v>
      </c>
      <c r="Y95">
        <v>113.6</v>
      </c>
      <c r="Z95">
        <v>118.5</v>
      </c>
      <c r="AA95">
        <v>123.6</v>
      </c>
      <c r="AB95">
        <v>112.5</v>
      </c>
      <c r="AC95">
        <v>118.2</v>
      </c>
      <c r="AD95">
        <v>126.1</v>
      </c>
    </row>
    <row r="96" spans="1:30" x14ac:dyDescent="0.3">
      <c r="A96" t="s">
        <v>33</v>
      </c>
      <c r="B96">
        <v>2015</v>
      </c>
      <c r="C96" t="s">
        <v>41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134.19999999999999</v>
      </c>
      <c r="R96">
        <v>123.7</v>
      </c>
      <c r="S96">
        <v>118.2</v>
      </c>
      <c r="T96">
        <v>122.9</v>
      </c>
      <c r="U96">
        <v>120.9</v>
      </c>
      <c r="V96">
        <v>115.3</v>
      </c>
      <c r="W96">
        <v>120</v>
      </c>
      <c r="X96">
        <v>116.6</v>
      </c>
      <c r="Y96">
        <v>109.9</v>
      </c>
      <c r="Z96">
        <v>117.2</v>
      </c>
      <c r="AA96">
        <v>126.2</v>
      </c>
      <c r="AB96">
        <v>112</v>
      </c>
      <c r="AC96">
        <v>116.2</v>
      </c>
      <c r="AD96">
        <v>123.2</v>
      </c>
    </row>
    <row r="97" spans="1:30" x14ac:dyDescent="0.3">
      <c r="A97" t="s">
        <v>34</v>
      </c>
      <c r="B97">
        <v>2015</v>
      </c>
      <c r="C97" t="s">
        <v>41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131.19999999999999</v>
      </c>
      <c r="R97">
        <v>127.2</v>
      </c>
      <c r="S97">
        <v>122.9</v>
      </c>
      <c r="T97">
        <v>126.6</v>
      </c>
      <c r="U97">
        <v>120.9</v>
      </c>
      <c r="V97">
        <v>120.6</v>
      </c>
      <c r="W97">
        <v>122</v>
      </c>
      <c r="X97">
        <v>119.4</v>
      </c>
      <c r="Y97">
        <v>111.7</v>
      </c>
      <c r="Z97">
        <v>117.8</v>
      </c>
      <c r="AA97">
        <v>125.1</v>
      </c>
      <c r="AB97">
        <v>112.3</v>
      </c>
      <c r="AC97">
        <v>117.2</v>
      </c>
      <c r="AD97">
        <v>124.8</v>
      </c>
    </row>
    <row r="98" spans="1:30" x14ac:dyDescent="0.3">
      <c r="A98" t="s">
        <v>30</v>
      </c>
      <c r="B98">
        <v>2015</v>
      </c>
      <c r="C98" t="s">
        <v>42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131</v>
      </c>
      <c r="R98">
        <v>130.4</v>
      </c>
      <c r="S98">
        <v>126.8</v>
      </c>
      <c r="T98">
        <v>129.9</v>
      </c>
      <c r="U98" t="s">
        <v>32</v>
      </c>
      <c r="V98">
        <v>123.7</v>
      </c>
      <c r="W98">
        <v>124.5</v>
      </c>
      <c r="X98">
        <v>121.4</v>
      </c>
      <c r="Y98">
        <v>113.8</v>
      </c>
      <c r="Z98">
        <v>119.6</v>
      </c>
      <c r="AA98">
        <v>124.5</v>
      </c>
      <c r="AB98">
        <v>113.7</v>
      </c>
      <c r="AC98">
        <v>118.8</v>
      </c>
      <c r="AD98">
        <v>127</v>
      </c>
    </row>
    <row r="99" spans="1:30" x14ac:dyDescent="0.3">
      <c r="A99" t="s">
        <v>33</v>
      </c>
      <c r="B99">
        <v>2015</v>
      </c>
      <c r="C99" t="s">
        <v>42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134.69999999999999</v>
      </c>
      <c r="R99">
        <v>124</v>
      </c>
      <c r="S99">
        <v>118.6</v>
      </c>
      <c r="T99">
        <v>123.2</v>
      </c>
      <c r="U99">
        <v>121.6</v>
      </c>
      <c r="V99">
        <v>115.1</v>
      </c>
      <c r="W99">
        <v>120.4</v>
      </c>
      <c r="X99">
        <v>117.1</v>
      </c>
      <c r="Y99">
        <v>109.1</v>
      </c>
      <c r="Z99">
        <v>117.3</v>
      </c>
      <c r="AA99">
        <v>126.5</v>
      </c>
      <c r="AB99">
        <v>112.9</v>
      </c>
      <c r="AC99">
        <v>116.2</v>
      </c>
      <c r="AD99">
        <v>123.5</v>
      </c>
    </row>
    <row r="100" spans="1:30" x14ac:dyDescent="0.3">
      <c r="A100" t="s">
        <v>34</v>
      </c>
      <c r="B100">
        <v>2015</v>
      </c>
      <c r="C100" t="s">
        <v>42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132</v>
      </c>
      <c r="R100">
        <v>127.9</v>
      </c>
      <c r="S100">
        <v>123.4</v>
      </c>
      <c r="T100">
        <v>127.2</v>
      </c>
      <c r="U100">
        <v>121.6</v>
      </c>
      <c r="V100">
        <v>120.4</v>
      </c>
      <c r="W100">
        <v>122.6</v>
      </c>
      <c r="X100">
        <v>119.8</v>
      </c>
      <c r="Y100">
        <v>111.3</v>
      </c>
      <c r="Z100">
        <v>118.3</v>
      </c>
      <c r="AA100">
        <v>125.7</v>
      </c>
      <c r="AB100">
        <v>113.4</v>
      </c>
      <c r="AC100">
        <v>117.5</v>
      </c>
      <c r="AD100">
        <v>125.4</v>
      </c>
    </row>
    <row r="101" spans="1:30" x14ac:dyDescent="0.3">
      <c r="A101" t="s">
        <v>30</v>
      </c>
      <c r="B101">
        <v>2015</v>
      </c>
      <c r="C101" t="s">
        <v>43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131.5</v>
      </c>
      <c r="R101">
        <v>131.1</v>
      </c>
      <c r="S101">
        <v>127.3</v>
      </c>
      <c r="T101">
        <v>130.6</v>
      </c>
      <c r="U101" t="s">
        <v>32</v>
      </c>
      <c r="V101">
        <v>124.4</v>
      </c>
      <c r="W101">
        <v>125.1</v>
      </c>
      <c r="X101">
        <v>122</v>
      </c>
      <c r="Y101">
        <v>113.8</v>
      </c>
      <c r="Z101">
        <v>120.1</v>
      </c>
      <c r="AA101">
        <v>125.1</v>
      </c>
      <c r="AB101">
        <v>114.2</v>
      </c>
      <c r="AC101">
        <v>119.2</v>
      </c>
      <c r="AD101">
        <v>127.7</v>
      </c>
    </row>
    <row r="102" spans="1:30" x14ac:dyDescent="0.3">
      <c r="A102" t="s">
        <v>33</v>
      </c>
      <c r="B102">
        <v>2015</v>
      </c>
      <c r="C102" t="s">
        <v>43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135.30000000000001</v>
      </c>
      <c r="R102">
        <v>124.4</v>
      </c>
      <c r="S102">
        <v>118.8</v>
      </c>
      <c r="T102">
        <v>123.6</v>
      </c>
      <c r="U102">
        <v>122.4</v>
      </c>
      <c r="V102">
        <v>114.9</v>
      </c>
      <c r="W102">
        <v>120.7</v>
      </c>
      <c r="X102">
        <v>117.7</v>
      </c>
      <c r="Y102">
        <v>109.3</v>
      </c>
      <c r="Z102">
        <v>117.7</v>
      </c>
      <c r="AA102">
        <v>126.5</v>
      </c>
      <c r="AB102">
        <v>113.5</v>
      </c>
      <c r="AC102">
        <v>116.5</v>
      </c>
      <c r="AD102">
        <v>124.2</v>
      </c>
    </row>
    <row r="103" spans="1:30" x14ac:dyDescent="0.3">
      <c r="A103" t="s">
        <v>34</v>
      </c>
      <c r="B103">
        <v>2015</v>
      </c>
      <c r="C103" t="s">
        <v>43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132.5</v>
      </c>
      <c r="R103">
        <v>128.5</v>
      </c>
      <c r="S103">
        <v>123.8</v>
      </c>
      <c r="T103">
        <v>127.8</v>
      </c>
      <c r="U103">
        <v>122.4</v>
      </c>
      <c r="V103">
        <v>120.8</v>
      </c>
      <c r="W103">
        <v>123</v>
      </c>
      <c r="X103">
        <v>120.4</v>
      </c>
      <c r="Y103">
        <v>111.4</v>
      </c>
      <c r="Z103">
        <v>118.7</v>
      </c>
      <c r="AA103">
        <v>125.9</v>
      </c>
      <c r="AB103">
        <v>113.9</v>
      </c>
      <c r="AC103">
        <v>117.9</v>
      </c>
      <c r="AD103">
        <v>126.1</v>
      </c>
    </row>
    <row r="104" spans="1:30" x14ac:dyDescent="0.3">
      <c r="A104" t="s">
        <v>30</v>
      </c>
      <c r="B104">
        <v>2015</v>
      </c>
      <c r="C104" t="s">
        <v>45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132.19999999999999</v>
      </c>
      <c r="R104">
        <v>132.1</v>
      </c>
      <c r="S104">
        <v>128.19999999999999</v>
      </c>
      <c r="T104">
        <v>131.5</v>
      </c>
      <c r="U104" t="s">
        <v>32</v>
      </c>
      <c r="V104">
        <v>125.6</v>
      </c>
      <c r="W104">
        <v>125.6</v>
      </c>
      <c r="X104">
        <v>122.6</v>
      </c>
      <c r="Y104">
        <v>114</v>
      </c>
      <c r="Z104">
        <v>120.9</v>
      </c>
      <c r="AA104">
        <v>125.8</v>
      </c>
      <c r="AB104">
        <v>114.2</v>
      </c>
      <c r="AC104">
        <v>119.6</v>
      </c>
      <c r="AD104">
        <v>128.30000000000001</v>
      </c>
    </row>
    <row r="105" spans="1:30" x14ac:dyDescent="0.3">
      <c r="A105" t="s">
        <v>33</v>
      </c>
      <c r="B105">
        <v>2015</v>
      </c>
      <c r="C105" t="s">
        <v>45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137.6</v>
      </c>
      <c r="R105">
        <v>125</v>
      </c>
      <c r="S105">
        <v>119.3</v>
      </c>
      <c r="T105">
        <v>124.2</v>
      </c>
      <c r="U105">
        <v>122.9</v>
      </c>
      <c r="V105">
        <v>115.1</v>
      </c>
      <c r="W105">
        <v>121</v>
      </c>
      <c r="X105">
        <v>118.1</v>
      </c>
      <c r="Y105">
        <v>109.3</v>
      </c>
      <c r="Z105">
        <v>117.9</v>
      </c>
      <c r="AA105">
        <v>126.6</v>
      </c>
      <c r="AB105">
        <v>113.3</v>
      </c>
      <c r="AC105">
        <v>116.6</v>
      </c>
      <c r="AD105">
        <v>124.6</v>
      </c>
    </row>
    <row r="106" spans="1:30" x14ac:dyDescent="0.3">
      <c r="A106" t="s">
        <v>34</v>
      </c>
      <c r="B106">
        <v>2015</v>
      </c>
      <c r="C106" t="s">
        <v>45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133.6</v>
      </c>
      <c r="R106">
        <v>129.30000000000001</v>
      </c>
      <c r="S106">
        <v>124.5</v>
      </c>
      <c r="T106">
        <v>128.6</v>
      </c>
      <c r="U106">
        <v>122.9</v>
      </c>
      <c r="V106">
        <v>121.6</v>
      </c>
      <c r="W106">
        <v>123.4</v>
      </c>
      <c r="X106">
        <v>120.9</v>
      </c>
      <c r="Y106">
        <v>111.5</v>
      </c>
      <c r="Z106">
        <v>119.2</v>
      </c>
      <c r="AA106">
        <v>126.3</v>
      </c>
      <c r="AB106">
        <v>113.8</v>
      </c>
      <c r="AC106">
        <v>118.1</v>
      </c>
      <c r="AD106">
        <v>126.6</v>
      </c>
    </row>
    <row r="107" spans="1:30" x14ac:dyDescent="0.3">
      <c r="A107" t="s">
        <v>30</v>
      </c>
      <c r="B107">
        <v>2015</v>
      </c>
      <c r="C107" t="s">
        <v>46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133.1</v>
      </c>
      <c r="R107">
        <v>132.5</v>
      </c>
      <c r="S107">
        <v>128.5</v>
      </c>
      <c r="T107">
        <v>131.9</v>
      </c>
      <c r="U107" t="s">
        <v>32</v>
      </c>
      <c r="V107">
        <v>125.7</v>
      </c>
      <c r="W107">
        <v>126</v>
      </c>
      <c r="X107">
        <v>123.1</v>
      </c>
      <c r="Y107">
        <v>114</v>
      </c>
      <c r="Z107">
        <v>121.6</v>
      </c>
      <c r="AA107">
        <v>125.6</v>
      </c>
      <c r="AB107">
        <v>114.1</v>
      </c>
      <c r="AC107">
        <v>119.8</v>
      </c>
      <c r="AD107">
        <v>127.9</v>
      </c>
    </row>
    <row r="108" spans="1:30" x14ac:dyDescent="0.3">
      <c r="A108" t="s">
        <v>33</v>
      </c>
      <c r="B108">
        <v>2015</v>
      </c>
      <c r="C108" t="s">
        <v>46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138.19999999999999</v>
      </c>
      <c r="R108">
        <v>125.4</v>
      </c>
      <c r="S108">
        <v>119.5</v>
      </c>
      <c r="T108">
        <v>124.5</v>
      </c>
      <c r="U108">
        <v>122.4</v>
      </c>
      <c r="V108">
        <v>116</v>
      </c>
      <c r="W108">
        <v>121</v>
      </c>
      <c r="X108">
        <v>118.6</v>
      </c>
      <c r="Y108">
        <v>109.3</v>
      </c>
      <c r="Z108">
        <v>118.1</v>
      </c>
      <c r="AA108">
        <v>126.6</v>
      </c>
      <c r="AB108">
        <v>113.2</v>
      </c>
      <c r="AC108">
        <v>116.7</v>
      </c>
      <c r="AD108">
        <v>124</v>
      </c>
    </row>
    <row r="109" spans="1:30" x14ac:dyDescent="0.3">
      <c r="A109" t="s">
        <v>34</v>
      </c>
      <c r="B109">
        <v>2015</v>
      </c>
      <c r="C109" t="s">
        <v>46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134.5</v>
      </c>
      <c r="R109">
        <v>129.69999999999999</v>
      </c>
      <c r="S109">
        <v>124.8</v>
      </c>
      <c r="T109">
        <v>129</v>
      </c>
      <c r="U109">
        <v>122.4</v>
      </c>
      <c r="V109">
        <v>122</v>
      </c>
      <c r="W109">
        <v>123.6</v>
      </c>
      <c r="X109">
        <v>121.4</v>
      </c>
      <c r="Y109">
        <v>111.5</v>
      </c>
      <c r="Z109">
        <v>119.6</v>
      </c>
      <c r="AA109">
        <v>126.2</v>
      </c>
      <c r="AB109">
        <v>113.7</v>
      </c>
      <c r="AC109">
        <v>118.3</v>
      </c>
      <c r="AD109">
        <v>126.1</v>
      </c>
    </row>
    <row r="110" spans="1:30" x14ac:dyDescent="0.3">
      <c r="A110" t="s">
        <v>30</v>
      </c>
      <c r="B110">
        <v>2016</v>
      </c>
      <c r="C110" t="s">
        <v>31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133.6</v>
      </c>
      <c r="R110">
        <v>133.19999999999999</v>
      </c>
      <c r="S110">
        <v>128.9</v>
      </c>
      <c r="T110">
        <v>132.6</v>
      </c>
      <c r="U110" t="s">
        <v>32</v>
      </c>
      <c r="V110">
        <v>126.2</v>
      </c>
      <c r="W110">
        <v>126.6</v>
      </c>
      <c r="X110">
        <v>123.7</v>
      </c>
      <c r="Y110">
        <v>113.6</v>
      </c>
      <c r="Z110">
        <v>121.4</v>
      </c>
      <c r="AA110">
        <v>126.2</v>
      </c>
      <c r="AB110">
        <v>114.9</v>
      </c>
      <c r="AC110">
        <v>120.1</v>
      </c>
      <c r="AD110">
        <v>128.1</v>
      </c>
    </row>
    <row r="111" spans="1:30" x14ac:dyDescent="0.3">
      <c r="A111" t="s">
        <v>33</v>
      </c>
      <c r="B111">
        <v>2016</v>
      </c>
      <c r="C111" t="s">
        <v>31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139.5</v>
      </c>
      <c r="R111">
        <v>125.8</v>
      </c>
      <c r="S111">
        <v>119.8</v>
      </c>
      <c r="T111">
        <v>124.9</v>
      </c>
      <c r="U111">
        <v>123.4</v>
      </c>
      <c r="V111">
        <v>116.9</v>
      </c>
      <c r="W111">
        <v>121.6</v>
      </c>
      <c r="X111">
        <v>119.1</v>
      </c>
      <c r="Y111">
        <v>108.9</v>
      </c>
      <c r="Z111">
        <v>118.5</v>
      </c>
      <c r="AA111">
        <v>126.4</v>
      </c>
      <c r="AB111">
        <v>114</v>
      </c>
      <c r="AC111">
        <v>116.8</v>
      </c>
      <c r="AD111">
        <v>124.2</v>
      </c>
    </row>
    <row r="112" spans="1:30" x14ac:dyDescent="0.3">
      <c r="A112" t="s">
        <v>34</v>
      </c>
      <c r="B112">
        <v>2016</v>
      </c>
      <c r="C112" t="s">
        <v>31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135.19999999999999</v>
      </c>
      <c r="R112">
        <v>130.30000000000001</v>
      </c>
      <c r="S112">
        <v>125.1</v>
      </c>
      <c r="T112">
        <v>129.5</v>
      </c>
      <c r="U112">
        <v>123.4</v>
      </c>
      <c r="V112">
        <v>122.7</v>
      </c>
      <c r="W112">
        <v>124.2</v>
      </c>
      <c r="X112">
        <v>122</v>
      </c>
      <c r="Y112">
        <v>111.1</v>
      </c>
      <c r="Z112">
        <v>119.8</v>
      </c>
      <c r="AA112">
        <v>126.3</v>
      </c>
      <c r="AB112">
        <v>114.5</v>
      </c>
      <c r="AC112">
        <v>118.5</v>
      </c>
      <c r="AD112">
        <v>126.3</v>
      </c>
    </row>
    <row r="113" spans="1:30" x14ac:dyDescent="0.3">
      <c r="A113" t="s">
        <v>30</v>
      </c>
      <c r="B113">
        <v>2016</v>
      </c>
      <c r="C113" t="s">
        <v>35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134.4</v>
      </c>
      <c r="R113">
        <v>133.9</v>
      </c>
      <c r="S113">
        <v>129.80000000000001</v>
      </c>
      <c r="T113">
        <v>133.4</v>
      </c>
      <c r="U113" t="s">
        <v>32</v>
      </c>
      <c r="V113">
        <v>127.5</v>
      </c>
      <c r="W113">
        <v>127.1</v>
      </c>
      <c r="X113">
        <v>124.3</v>
      </c>
      <c r="Y113">
        <v>113.9</v>
      </c>
      <c r="Z113">
        <v>122.3</v>
      </c>
      <c r="AA113">
        <v>127.1</v>
      </c>
      <c r="AB113">
        <v>116.8</v>
      </c>
      <c r="AC113">
        <v>120.9</v>
      </c>
      <c r="AD113">
        <v>127.9</v>
      </c>
    </row>
    <row r="114" spans="1:30" x14ac:dyDescent="0.3">
      <c r="A114" t="s">
        <v>33</v>
      </c>
      <c r="B114">
        <v>2016</v>
      </c>
      <c r="C114" t="s">
        <v>35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140</v>
      </c>
      <c r="R114">
        <v>126.2</v>
      </c>
      <c r="S114">
        <v>120.1</v>
      </c>
      <c r="T114">
        <v>125.3</v>
      </c>
      <c r="U114">
        <v>124.4</v>
      </c>
      <c r="V114">
        <v>116</v>
      </c>
      <c r="W114">
        <v>121.8</v>
      </c>
      <c r="X114">
        <v>119.5</v>
      </c>
      <c r="Y114">
        <v>109.1</v>
      </c>
      <c r="Z114">
        <v>118.8</v>
      </c>
      <c r="AA114">
        <v>126.3</v>
      </c>
      <c r="AB114">
        <v>116.2</v>
      </c>
      <c r="AC114">
        <v>117.2</v>
      </c>
      <c r="AD114">
        <v>123.8</v>
      </c>
    </row>
    <row r="115" spans="1:30" x14ac:dyDescent="0.3">
      <c r="A115" t="s">
        <v>34</v>
      </c>
      <c r="B115">
        <v>2016</v>
      </c>
      <c r="C115" t="s">
        <v>35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135.9</v>
      </c>
      <c r="R115">
        <v>130.9</v>
      </c>
      <c r="S115">
        <v>125.8</v>
      </c>
      <c r="T115">
        <v>130.19999999999999</v>
      </c>
      <c r="U115">
        <v>124.4</v>
      </c>
      <c r="V115">
        <v>123.1</v>
      </c>
      <c r="W115">
        <v>124.6</v>
      </c>
      <c r="X115">
        <v>122.5</v>
      </c>
      <c r="Y115">
        <v>111.4</v>
      </c>
      <c r="Z115">
        <v>120.3</v>
      </c>
      <c r="AA115">
        <v>126.6</v>
      </c>
      <c r="AB115">
        <v>116.6</v>
      </c>
      <c r="AC115">
        <v>119.1</v>
      </c>
      <c r="AD115">
        <v>126</v>
      </c>
    </row>
    <row r="116" spans="1:30" x14ac:dyDescent="0.3">
      <c r="A116" t="s">
        <v>30</v>
      </c>
      <c r="B116">
        <v>2016</v>
      </c>
      <c r="C116" t="s">
        <v>36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135</v>
      </c>
      <c r="R116">
        <v>134.4</v>
      </c>
      <c r="S116">
        <v>130.19999999999999</v>
      </c>
      <c r="T116">
        <v>133.80000000000001</v>
      </c>
      <c r="U116" t="s">
        <v>32</v>
      </c>
      <c r="V116">
        <v>127</v>
      </c>
      <c r="W116">
        <v>127.7</v>
      </c>
      <c r="X116">
        <v>124.8</v>
      </c>
      <c r="Y116">
        <v>113.6</v>
      </c>
      <c r="Z116">
        <v>122.5</v>
      </c>
      <c r="AA116">
        <v>127.5</v>
      </c>
      <c r="AB116">
        <v>117.4</v>
      </c>
      <c r="AC116">
        <v>121.1</v>
      </c>
      <c r="AD116">
        <v>128</v>
      </c>
    </row>
    <row r="117" spans="1:30" x14ac:dyDescent="0.3">
      <c r="A117" t="s">
        <v>33</v>
      </c>
      <c r="B117">
        <v>2016</v>
      </c>
      <c r="C117" t="s">
        <v>36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140.6</v>
      </c>
      <c r="R117">
        <v>126.4</v>
      </c>
      <c r="S117">
        <v>120.3</v>
      </c>
      <c r="T117">
        <v>125.5</v>
      </c>
      <c r="U117">
        <v>124.9</v>
      </c>
      <c r="V117">
        <v>114.8</v>
      </c>
      <c r="W117">
        <v>122.3</v>
      </c>
      <c r="X117">
        <v>119.7</v>
      </c>
      <c r="Y117">
        <v>108.5</v>
      </c>
      <c r="Z117">
        <v>119.1</v>
      </c>
      <c r="AA117">
        <v>126.4</v>
      </c>
      <c r="AB117">
        <v>117.1</v>
      </c>
      <c r="AC117">
        <v>117.3</v>
      </c>
      <c r="AD117">
        <v>123.8</v>
      </c>
    </row>
    <row r="118" spans="1:30" x14ac:dyDescent="0.3">
      <c r="A118" t="s">
        <v>34</v>
      </c>
      <c r="B118">
        <v>2016</v>
      </c>
      <c r="C118" t="s">
        <v>36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>
        <v>136.5</v>
      </c>
      <c r="R118">
        <v>131.30000000000001</v>
      </c>
      <c r="S118">
        <v>126.1</v>
      </c>
      <c r="T118">
        <v>130.5</v>
      </c>
      <c r="U118">
        <v>124.9</v>
      </c>
      <c r="V118">
        <v>122.4</v>
      </c>
      <c r="W118">
        <v>125.1</v>
      </c>
      <c r="X118">
        <v>122.9</v>
      </c>
      <c r="Y118">
        <v>110.9</v>
      </c>
      <c r="Z118">
        <v>120.6</v>
      </c>
      <c r="AA118">
        <v>126.9</v>
      </c>
      <c r="AB118">
        <v>117.3</v>
      </c>
      <c r="AC118">
        <v>119.3</v>
      </c>
      <c r="AD118">
        <v>126</v>
      </c>
    </row>
    <row r="119" spans="1:30" x14ac:dyDescent="0.3">
      <c r="A119" t="s">
        <v>30</v>
      </c>
      <c r="B119">
        <v>2016</v>
      </c>
      <c r="C119" t="s">
        <v>37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>
        <v>135.5</v>
      </c>
      <c r="R119">
        <v>135</v>
      </c>
      <c r="S119">
        <v>130.6</v>
      </c>
      <c r="T119">
        <v>134.4</v>
      </c>
      <c r="U119" t="s">
        <v>32</v>
      </c>
      <c r="V119">
        <v>127</v>
      </c>
      <c r="W119">
        <v>128</v>
      </c>
      <c r="X119">
        <v>125.2</v>
      </c>
      <c r="Y119">
        <v>114.4</v>
      </c>
      <c r="Z119">
        <v>123.2</v>
      </c>
      <c r="AA119">
        <v>127.9</v>
      </c>
      <c r="AB119">
        <v>118.4</v>
      </c>
      <c r="AC119">
        <v>121.7</v>
      </c>
      <c r="AD119">
        <v>129</v>
      </c>
    </row>
    <row r="120" spans="1:30" x14ac:dyDescent="0.3">
      <c r="A120" t="s">
        <v>33</v>
      </c>
      <c r="B120">
        <v>2016</v>
      </c>
      <c r="C120" t="s">
        <v>37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>
        <v>141.5</v>
      </c>
      <c r="R120">
        <v>126.8</v>
      </c>
      <c r="S120">
        <v>120.5</v>
      </c>
      <c r="T120">
        <v>125.8</v>
      </c>
      <c r="U120">
        <v>125.6</v>
      </c>
      <c r="V120">
        <v>114.6</v>
      </c>
      <c r="W120">
        <v>122.8</v>
      </c>
      <c r="X120">
        <v>120</v>
      </c>
      <c r="Y120">
        <v>110</v>
      </c>
      <c r="Z120">
        <v>119.5</v>
      </c>
      <c r="AA120">
        <v>127.6</v>
      </c>
      <c r="AB120">
        <v>117.6</v>
      </c>
      <c r="AC120">
        <v>118.2</v>
      </c>
      <c r="AD120">
        <v>125.3</v>
      </c>
    </row>
    <row r="121" spans="1:30" x14ac:dyDescent="0.3">
      <c r="A121" t="s">
        <v>34</v>
      </c>
      <c r="B121">
        <v>2016</v>
      </c>
      <c r="C121" t="s">
        <v>37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>
        <v>137.1</v>
      </c>
      <c r="R121">
        <v>131.80000000000001</v>
      </c>
      <c r="S121">
        <v>126.4</v>
      </c>
      <c r="T121">
        <v>131</v>
      </c>
      <c r="U121">
        <v>125.6</v>
      </c>
      <c r="V121">
        <v>122.3</v>
      </c>
      <c r="W121">
        <v>125.5</v>
      </c>
      <c r="X121">
        <v>123.2</v>
      </c>
      <c r="Y121">
        <v>112.1</v>
      </c>
      <c r="Z121">
        <v>121.1</v>
      </c>
      <c r="AA121">
        <v>127.7</v>
      </c>
      <c r="AB121">
        <v>118.1</v>
      </c>
      <c r="AC121">
        <v>120</v>
      </c>
      <c r="AD121">
        <v>127.3</v>
      </c>
    </row>
    <row r="122" spans="1:30" x14ac:dyDescent="0.3">
      <c r="A122" t="s">
        <v>30</v>
      </c>
      <c r="B122">
        <v>2016</v>
      </c>
      <c r="C122" t="s">
        <v>38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>
        <v>136</v>
      </c>
      <c r="R122">
        <v>135.4</v>
      </c>
      <c r="S122">
        <v>131.1</v>
      </c>
      <c r="T122">
        <v>134.80000000000001</v>
      </c>
      <c r="U122" t="s">
        <v>32</v>
      </c>
      <c r="V122">
        <v>127.4</v>
      </c>
      <c r="W122">
        <v>128.5</v>
      </c>
      <c r="X122">
        <v>125.8</v>
      </c>
      <c r="Y122">
        <v>115.1</v>
      </c>
      <c r="Z122">
        <v>123.6</v>
      </c>
      <c r="AA122">
        <v>129.1</v>
      </c>
      <c r="AB122">
        <v>119.7</v>
      </c>
      <c r="AC122">
        <v>122.5</v>
      </c>
      <c r="AD122">
        <v>130.30000000000001</v>
      </c>
    </row>
    <row r="123" spans="1:30" x14ac:dyDescent="0.3">
      <c r="A123" t="s">
        <v>33</v>
      </c>
      <c r="B123">
        <v>2016</v>
      </c>
      <c r="C123" t="s">
        <v>38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>
        <v>142.19999999999999</v>
      </c>
      <c r="R123">
        <v>127.2</v>
      </c>
      <c r="S123">
        <v>120.7</v>
      </c>
      <c r="T123">
        <v>126.2</v>
      </c>
      <c r="U123">
        <v>126</v>
      </c>
      <c r="V123">
        <v>115</v>
      </c>
      <c r="W123">
        <v>123.2</v>
      </c>
      <c r="X123">
        <v>120.3</v>
      </c>
      <c r="Y123">
        <v>110.7</v>
      </c>
      <c r="Z123">
        <v>119.8</v>
      </c>
      <c r="AA123">
        <v>128</v>
      </c>
      <c r="AB123">
        <v>118.5</v>
      </c>
      <c r="AC123">
        <v>118.7</v>
      </c>
      <c r="AD123">
        <v>126.6</v>
      </c>
    </row>
    <row r="124" spans="1:30" x14ac:dyDescent="0.3">
      <c r="A124" t="s">
        <v>34</v>
      </c>
      <c r="B124">
        <v>2016</v>
      </c>
      <c r="C124" t="s">
        <v>38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>
        <v>137.69999999999999</v>
      </c>
      <c r="R124">
        <v>132.19999999999999</v>
      </c>
      <c r="S124">
        <v>126.8</v>
      </c>
      <c r="T124">
        <v>131.4</v>
      </c>
      <c r="U124">
        <v>126</v>
      </c>
      <c r="V124">
        <v>122.7</v>
      </c>
      <c r="W124">
        <v>126</v>
      </c>
      <c r="X124">
        <v>123.7</v>
      </c>
      <c r="Y124">
        <v>112.8</v>
      </c>
      <c r="Z124">
        <v>121.5</v>
      </c>
      <c r="AA124">
        <v>128.5</v>
      </c>
      <c r="AB124">
        <v>119.2</v>
      </c>
      <c r="AC124">
        <v>120.7</v>
      </c>
      <c r="AD124">
        <v>128.6</v>
      </c>
    </row>
    <row r="125" spans="1:30" x14ac:dyDescent="0.3">
      <c r="A125" t="s">
        <v>30</v>
      </c>
      <c r="B125">
        <v>2016</v>
      </c>
      <c r="C125" t="s">
        <v>39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>
        <v>137.19999999999999</v>
      </c>
      <c r="R125">
        <v>136.30000000000001</v>
      </c>
      <c r="S125">
        <v>131.6</v>
      </c>
      <c r="T125">
        <v>135.6</v>
      </c>
      <c r="U125" t="s">
        <v>32</v>
      </c>
      <c r="V125">
        <v>128</v>
      </c>
      <c r="W125">
        <v>129.30000000000001</v>
      </c>
      <c r="X125">
        <v>126.2</v>
      </c>
      <c r="Y125">
        <v>116.3</v>
      </c>
      <c r="Z125">
        <v>124.1</v>
      </c>
      <c r="AA125">
        <v>130.19999999999999</v>
      </c>
      <c r="AB125">
        <v>119.9</v>
      </c>
      <c r="AC125">
        <v>123.3</v>
      </c>
      <c r="AD125">
        <v>131.9</v>
      </c>
    </row>
    <row r="126" spans="1:30" x14ac:dyDescent="0.3">
      <c r="A126" t="s">
        <v>33</v>
      </c>
      <c r="B126">
        <v>2016</v>
      </c>
      <c r="C126" t="s">
        <v>39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>
        <v>142.69999999999999</v>
      </c>
      <c r="R126">
        <v>127.6</v>
      </c>
      <c r="S126">
        <v>121.1</v>
      </c>
      <c r="T126">
        <v>126.6</v>
      </c>
      <c r="U126">
        <v>125.5</v>
      </c>
      <c r="V126">
        <v>115.5</v>
      </c>
      <c r="W126">
        <v>123.2</v>
      </c>
      <c r="X126">
        <v>120.6</v>
      </c>
      <c r="Y126">
        <v>112.3</v>
      </c>
      <c r="Z126">
        <v>119.9</v>
      </c>
      <c r="AA126">
        <v>129.30000000000001</v>
      </c>
      <c r="AB126">
        <v>118.8</v>
      </c>
      <c r="AC126">
        <v>119.6</v>
      </c>
      <c r="AD126">
        <v>128.1</v>
      </c>
    </row>
    <row r="127" spans="1:30" x14ac:dyDescent="0.3">
      <c r="A127" t="s">
        <v>34</v>
      </c>
      <c r="B127">
        <v>2016</v>
      </c>
      <c r="C127" t="s">
        <v>39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>
        <v>138.69999999999999</v>
      </c>
      <c r="R127">
        <v>132.9</v>
      </c>
      <c r="S127">
        <v>127.2</v>
      </c>
      <c r="T127">
        <v>132</v>
      </c>
      <c r="U127">
        <v>125.5</v>
      </c>
      <c r="V127">
        <v>123.3</v>
      </c>
      <c r="W127">
        <v>126.4</v>
      </c>
      <c r="X127">
        <v>124.1</v>
      </c>
      <c r="Y127">
        <v>114.2</v>
      </c>
      <c r="Z127">
        <v>121.7</v>
      </c>
      <c r="AA127">
        <v>129.69999999999999</v>
      </c>
      <c r="AB127">
        <v>119.4</v>
      </c>
      <c r="AC127">
        <v>121.5</v>
      </c>
      <c r="AD127">
        <v>130.1</v>
      </c>
    </row>
    <row r="128" spans="1:30" x14ac:dyDescent="0.3">
      <c r="A128" t="s">
        <v>30</v>
      </c>
      <c r="B128">
        <v>2016</v>
      </c>
      <c r="C128" t="s">
        <v>40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>
        <v>138</v>
      </c>
      <c r="R128">
        <v>137.19999999999999</v>
      </c>
      <c r="S128">
        <v>132.19999999999999</v>
      </c>
      <c r="T128">
        <v>136.5</v>
      </c>
      <c r="U128" t="s">
        <v>32</v>
      </c>
      <c r="V128">
        <v>128.19999999999999</v>
      </c>
      <c r="W128">
        <v>130</v>
      </c>
      <c r="X128">
        <v>126.7</v>
      </c>
      <c r="Y128">
        <v>116.4</v>
      </c>
      <c r="Z128">
        <v>125.2</v>
      </c>
      <c r="AA128">
        <v>130.80000000000001</v>
      </c>
      <c r="AB128">
        <v>120.9</v>
      </c>
      <c r="AC128">
        <v>123.8</v>
      </c>
      <c r="AD128">
        <v>133</v>
      </c>
    </row>
    <row r="129" spans="1:30" x14ac:dyDescent="0.3">
      <c r="A129" t="s">
        <v>33</v>
      </c>
      <c r="B129">
        <v>2016</v>
      </c>
      <c r="C129" t="s">
        <v>40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>
        <v>142.9</v>
      </c>
      <c r="R129">
        <v>127.9</v>
      </c>
      <c r="S129">
        <v>121.1</v>
      </c>
      <c r="T129">
        <v>126.9</v>
      </c>
      <c r="U129">
        <v>126.4</v>
      </c>
      <c r="V129">
        <v>115.5</v>
      </c>
      <c r="W129">
        <v>123.5</v>
      </c>
      <c r="X129">
        <v>120.9</v>
      </c>
      <c r="Y129">
        <v>111.7</v>
      </c>
      <c r="Z129">
        <v>120.3</v>
      </c>
      <c r="AA129">
        <v>130.80000000000001</v>
      </c>
      <c r="AB129">
        <v>120</v>
      </c>
      <c r="AC129">
        <v>119.9</v>
      </c>
      <c r="AD129">
        <v>129</v>
      </c>
    </row>
    <row r="130" spans="1:30" x14ac:dyDescent="0.3">
      <c r="A130" t="s">
        <v>34</v>
      </c>
      <c r="B130">
        <v>2016</v>
      </c>
      <c r="C130" t="s">
        <v>40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>
        <v>139.30000000000001</v>
      </c>
      <c r="R130">
        <v>133.5</v>
      </c>
      <c r="S130">
        <v>127.6</v>
      </c>
      <c r="T130">
        <v>132.69999999999999</v>
      </c>
      <c r="U130">
        <v>126.4</v>
      </c>
      <c r="V130">
        <v>123.4</v>
      </c>
      <c r="W130">
        <v>126.9</v>
      </c>
      <c r="X130">
        <v>124.5</v>
      </c>
      <c r="Y130">
        <v>113.9</v>
      </c>
      <c r="Z130">
        <v>122.4</v>
      </c>
      <c r="AA130">
        <v>130.80000000000001</v>
      </c>
      <c r="AB130">
        <v>120.5</v>
      </c>
      <c r="AC130">
        <v>121.9</v>
      </c>
      <c r="AD130">
        <v>131.1</v>
      </c>
    </row>
    <row r="131" spans="1:30" x14ac:dyDescent="0.3">
      <c r="A131" t="s">
        <v>30</v>
      </c>
      <c r="B131">
        <v>2016</v>
      </c>
      <c r="C131" t="s">
        <v>41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>
        <v>138.9</v>
      </c>
      <c r="R131">
        <v>137.80000000000001</v>
      </c>
      <c r="S131">
        <v>133</v>
      </c>
      <c r="T131">
        <v>137.1</v>
      </c>
      <c r="U131" t="s">
        <v>32</v>
      </c>
      <c r="V131">
        <v>129.1</v>
      </c>
      <c r="W131">
        <v>130.6</v>
      </c>
      <c r="X131">
        <v>127</v>
      </c>
      <c r="Y131">
        <v>116</v>
      </c>
      <c r="Z131">
        <v>125.5</v>
      </c>
      <c r="AA131">
        <v>131.9</v>
      </c>
      <c r="AB131">
        <v>122</v>
      </c>
      <c r="AC131">
        <v>124.2</v>
      </c>
      <c r="AD131">
        <v>133.5</v>
      </c>
    </row>
    <row r="132" spans="1:30" x14ac:dyDescent="0.3">
      <c r="A132" t="s">
        <v>33</v>
      </c>
      <c r="B132">
        <v>2016</v>
      </c>
      <c r="C132" t="s">
        <v>41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>
        <v>143.6</v>
      </c>
      <c r="R132">
        <v>128.30000000000001</v>
      </c>
      <c r="S132">
        <v>121.4</v>
      </c>
      <c r="T132">
        <v>127.3</v>
      </c>
      <c r="U132">
        <v>127.3</v>
      </c>
      <c r="V132">
        <v>114.7</v>
      </c>
      <c r="W132">
        <v>123.9</v>
      </c>
      <c r="X132">
        <v>121.2</v>
      </c>
      <c r="Y132">
        <v>110.4</v>
      </c>
      <c r="Z132">
        <v>120.6</v>
      </c>
      <c r="AA132">
        <v>131.5</v>
      </c>
      <c r="AB132">
        <v>120.9</v>
      </c>
      <c r="AC132">
        <v>119.9</v>
      </c>
      <c r="AD132">
        <v>128.4</v>
      </c>
    </row>
    <row r="133" spans="1:30" x14ac:dyDescent="0.3">
      <c r="A133" t="s">
        <v>34</v>
      </c>
      <c r="B133">
        <v>2016</v>
      </c>
      <c r="C133" t="s">
        <v>41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>
        <v>140.19999999999999</v>
      </c>
      <c r="R133">
        <v>134.1</v>
      </c>
      <c r="S133">
        <v>128.19999999999999</v>
      </c>
      <c r="T133">
        <v>133.19999999999999</v>
      </c>
      <c r="U133">
        <v>127.3</v>
      </c>
      <c r="V133">
        <v>123.6</v>
      </c>
      <c r="W133">
        <v>127.4</v>
      </c>
      <c r="X133">
        <v>124.8</v>
      </c>
      <c r="Y133">
        <v>113.1</v>
      </c>
      <c r="Z133">
        <v>122.7</v>
      </c>
      <c r="AA133">
        <v>131.69999999999999</v>
      </c>
      <c r="AB133">
        <v>121.5</v>
      </c>
      <c r="AC133">
        <v>122.1</v>
      </c>
      <c r="AD133">
        <v>131.1</v>
      </c>
    </row>
    <row r="134" spans="1:30" x14ac:dyDescent="0.3">
      <c r="A134" t="s">
        <v>30</v>
      </c>
      <c r="B134">
        <v>2016</v>
      </c>
      <c r="C134" t="s">
        <v>42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>
        <v>139.9</v>
      </c>
      <c r="R134">
        <v>138.5</v>
      </c>
      <c r="S134">
        <v>133.5</v>
      </c>
      <c r="T134">
        <v>137.80000000000001</v>
      </c>
      <c r="U134" t="s">
        <v>32</v>
      </c>
      <c r="V134">
        <v>129.69999999999999</v>
      </c>
      <c r="W134">
        <v>131.1</v>
      </c>
      <c r="X134">
        <v>127.8</v>
      </c>
      <c r="Y134">
        <v>117</v>
      </c>
      <c r="Z134">
        <v>125.7</v>
      </c>
      <c r="AA134">
        <v>132.19999999999999</v>
      </c>
      <c r="AB134">
        <v>122.8</v>
      </c>
      <c r="AC134">
        <v>124.9</v>
      </c>
      <c r="AD134">
        <v>133.4</v>
      </c>
    </row>
    <row r="135" spans="1:30" x14ac:dyDescent="0.3">
      <c r="A135" t="s">
        <v>33</v>
      </c>
      <c r="B135">
        <v>2016</v>
      </c>
      <c r="C135" t="s">
        <v>42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>
        <v>143.9</v>
      </c>
      <c r="R135">
        <v>128.69999999999999</v>
      </c>
      <c r="S135">
        <v>121.6</v>
      </c>
      <c r="T135">
        <v>127.7</v>
      </c>
      <c r="U135">
        <v>127.9</v>
      </c>
      <c r="V135">
        <v>114.8</v>
      </c>
      <c r="W135">
        <v>124.3</v>
      </c>
      <c r="X135">
        <v>121.4</v>
      </c>
      <c r="Y135">
        <v>111.8</v>
      </c>
      <c r="Z135">
        <v>120.8</v>
      </c>
      <c r="AA135">
        <v>131.6</v>
      </c>
      <c r="AB135">
        <v>121.2</v>
      </c>
      <c r="AC135">
        <v>120.5</v>
      </c>
      <c r="AD135">
        <v>128</v>
      </c>
    </row>
    <row r="136" spans="1:30" x14ac:dyDescent="0.3">
      <c r="A136" t="s">
        <v>34</v>
      </c>
      <c r="B136">
        <v>2016</v>
      </c>
      <c r="C136" t="s">
        <v>42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>
        <v>141</v>
      </c>
      <c r="R136">
        <v>134.6</v>
      </c>
      <c r="S136">
        <v>128.6</v>
      </c>
      <c r="T136">
        <v>133.80000000000001</v>
      </c>
      <c r="U136">
        <v>127.9</v>
      </c>
      <c r="V136">
        <v>124.1</v>
      </c>
      <c r="W136">
        <v>127.9</v>
      </c>
      <c r="X136">
        <v>125.4</v>
      </c>
      <c r="Y136">
        <v>114.3</v>
      </c>
      <c r="Z136">
        <v>122.9</v>
      </c>
      <c r="AA136">
        <v>131.80000000000001</v>
      </c>
      <c r="AB136">
        <v>122.1</v>
      </c>
      <c r="AC136">
        <v>122.8</v>
      </c>
      <c r="AD136">
        <v>130.9</v>
      </c>
    </row>
    <row r="137" spans="1:30" x14ac:dyDescent="0.3">
      <c r="A137" t="s">
        <v>30</v>
      </c>
      <c r="B137">
        <v>2016</v>
      </c>
      <c r="C137" t="s">
        <v>43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>
        <v>140.9</v>
      </c>
      <c r="R137">
        <v>139.6</v>
      </c>
      <c r="S137">
        <v>134.30000000000001</v>
      </c>
      <c r="T137">
        <v>138.80000000000001</v>
      </c>
      <c r="U137" t="s">
        <v>32</v>
      </c>
      <c r="V137">
        <v>129.80000000000001</v>
      </c>
      <c r="W137">
        <v>131.80000000000001</v>
      </c>
      <c r="X137">
        <v>128.69999999999999</v>
      </c>
      <c r="Y137">
        <v>117.8</v>
      </c>
      <c r="Z137">
        <v>126.5</v>
      </c>
      <c r="AA137">
        <v>133</v>
      </c>
      <c r="AB137">
        <v>123</v>
      </c>
      <c r="AC137">
        <v>125.7</v>
      </c>
      <c r="AD137">
        <v>133.80000000000001</v>
      </c>
    </row>
    <row r="138" spans="1:30" x14ac:dyDescent="0.3">
      <c r="A138" t="s">
        <v>33</v>
      </c>
      <c r="B138">
        <v>2016</v>
      </c>
      <c r="C138" t="s">
        <v>43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>
        <v>144.30000000000001</v>
      </c>
      <c r="R138">
        <v>129.1</v>
      </c>
      <c r="S138">
        <v>121.9</v>
      </c>
      <c r="T138">
        <v>128</v>
      </c>
      <c r="U138">
        <v>128.69999999999999</v>
      </c>
      <c r="V138">
        <v>115.2</v>
      </c>
      <c r="W138">
        <v>124.5</v>
      </c>
      <c r="X138">
        <v>121.8</v>
      </c>
      <c r="Y138">
        <v>112.8</v>
      </c>
      <c r="Z138">
        <v>121.2</v>
      </c>
      <c r="AA138">
        <v>131.9</v>
      </c>
      <c r="AB138">
        <v>120.8</v>
      </c>
      <c r="AC138">
        <v>120.9</v>
      </c>
      <c r="AD138">
        <v>128.6</v>
      </c>
    </row>
    <row r="139" spans="1:30" x14ac:dyDescent="0.3">
      <c r="A139" t="s">
        <v>34</v>
      </c>
      <c r="B139">
        <v>2016</v>
      </c>
      <c r="C139" t="s">
        <v>43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>
        <v>141.80000000000001</v>
      </c>
      <c r="R139">
        <v>135.5</v>
      </c>
      <c r="S139">
        <v>129.1</v>
      </c>
      <c r="T139">
        <v>134.5</v>
      </c>
      <c r="U139">
        <v>128.69999999999999</v>
      </c>
      <c r="V139">
        <v>124.3</v>
      </c>
      <c r="W139">
        <v>128.4</v>
      </c>
      <c r="X139">
        <v>126.1</v>
      </c>
      <c r="Y139">
        <v>115.2</v>
      </c>
      <c r="Z139">
        <v>123.5</v>
      </c>
      <c r="AA139">
        <v>132.4</v>
      </c>
      <c r="AB139">
        <v>122.1</v>
      </c>
      <c r="AC139">
        <v>123.4</v>
      </c>
      <c r="AD139">
        <v>131.4</v>
      </c>
    </row>
    <row r="140" spans="1:30" x14ac:dyDescent="0.3">
      <c r="A140" t="s">
        <v>30</v>
      </c>
      <c r="B140">
        <v>2016</v>
      </c>
      <c r="C140" t="s">
        <v>45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>
        <v>141.19999999999999</v>
      </c>
      <c r="R140">
        <v>139.9</v>
      </c>
      <c r="S140">
        <v>134.5</v>
      </c>
      <c r="T140">
        <v>139.19999999999999</v>
      </c>
      <c r="U140" t="s">
        <v>32</v>
      </c>
      <c r="V140">
        <v>130.30000000000001</v>
      </c>
      <c r="W140">
        <v>132.1</v>
      </c>
      <c r="X140">
        <v>129.1</v>
      </c>
      <c r="Y140">
        <v>118.2</v>
      </c>
      <c r="Z140">
        <v>126.9</v>
      </c>
      <c r="AA140">
        <v>133.69999999999999</v>
      </c>
      <c r="AB140">
        <v>123.5</v>
      </c>
      <c r="AC140">
        <v>126.1</v>
      </c>
      <c r="AD140">
        <v>133.6</v>
      </c>
    </row>
    <row r="141" spans="1:30" x14ac:dyDescent="0.3">
      <c r="A141" t="s">
        <v>33</v>
      </c>
      <c r="B141">
        <v>2016</v>
      </c>
      <c r="C141" t="s">
        <v>45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>
        <v>144.30000000000001</v>
      </c>
      <c r="R141">
        <v>129.6</v>
      </c>
      <c r="S141">
        <v>122.1</v>
      </c>
      <c r="T141">
        <v>128.5</v>
      </c>
      <c r="U141">
        <v>129.1</v>
      </c>
      <c r="V141">
        <v>116.2</v>
      </c>
      <c r="W141">
        <v>124.7</v>
      </c>
      <c r="X141">
        <v>122.1</v>
      </c>
      <c r="Y141">
        <v>113.4</v>
      </c>
      <c r="Z141">
        <v>121.7</v>
      </c>
      <c r="AA141">
        <v>132.1</v>
      </c>
      <c r="AB141">
        <v>121.3</v>
      </c>
      <c r="AC141">
        <v>121.3</v>
      </c>
      <c r="AD141">
        <v>128.5</v>
      </c>
    </row>
    <row r="142" spans="1:30" x14ac:dyDescent="0.3">
      <c r="A142" t="s">
        <v>34</v>
      </c>
      <c r="B142">
        <v>2016</v>
      </c>
      <c r="C142" t="s">
        <v>45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>
        <v>142</v>
      </c>
      <c r="R142">
        <v>135.80000000000001</v>
      </c>
      <c r="S142">
        <v>129.30000000000001</v>
      </c>
      <c r="T142">
        <v>135</v>
      </c>
      <c r="U142">
        <v>129.1</v>
      </c>
      <c r="V142">
        <v>125</v>
      </c>
      <c r="W142">
        <v>128.6</v>
      </c>
      <c r="X142">
        <v>126.4</v>
      </c>
      <c r="Y142">
        <v>115.7</v>
      </c>
      <c r="Z142">
        <v>124</v>
      </c>
      <c r="AA142">
        <v>132.80000000000001</v>
      </c>
      <c r="AB142">
        <v>122.6</v>
      </c>
      <c r="AC142">
        <v>123.8</v>
      </c>
      <c r="AD142">
        <v>131.19999999999999</v>
      </c>
    </row>
    <row r="143" spans="1:30" x14ac:dyDescent="0.3">
      <c r="A143" t="s">
        <v>30</v>
      </c>
      <c r="B143">
        <v>2016</v>
      </c>
      <c r="C143" t="s">
        <v>46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>
        <v>142.4</v>
      </c>
      <c r="R143">
        <v>140.4</v>
      </c>
      <c r="S143">
        <v>135.19999999999999</v>
      </c>
      <c r="T143">
        <v>139.69999999999999</v>
      </c>
      <c r="U143" t="s">
        <v>32</v>
      </c>
      <c r="V143">
        <v>132</v>
      </c>
      <c r="W143">
        <v>132.9</v>
      </c>
      <c r="X143">
        <v>129.69999999999999</v>
      </c>
      <c r="Y143">
        <v>118.6</v>
      </c>
      <c r="Z143">
        <v>127.3</v>
      </c>
      <c r="AA143">
        <v>134.19999999999999</v>
      </c>
      <c r="AB143">
        <v>121.9</v>
      </c>
      <c r="AC143">
        <v>126.3</v>
      </c>
      <c r="AD143">
        <v>132.80000000000001</v>
      </c>
    </row>
    <row r="144" spans="1:30" x14ac:dyDescent="0.3">
      <c r="A144" t="s">
        <v>33</v>
      </c>
      <c r="B144">
        <v>2016</v>
      </c>
      <c r="C144" t="s">
        <v>46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>
        <v>145</v>
      </c>
      <c r="R144">
        <v>130</v>
      </c>
      <c r="S144">
        <v>122.2</v>
      </c>
      <c r="T144">
        <v>128.80000000000001</v>
      </c>
      <c r="U144">
        <v>128.5</v>
      </c>
      <c r="V144">
        <v>117.8</v>
      </c>
      <c r="W144">
        <v>125</v>
      </c>
      <c r="X144">
        <v>122.3</v>
      </c>
      <c r="Y144">
        <v>113.7</v>
      </c>
      <c r="Z144">
        <v>121.8</v>
      </c>
      <c r="AA144">
        <v>132.30000000000001</v>
      </c>
      <c r="AB144">
        <v>119.9</v>
      </c>
      <c r="AC144">
        <v>121.4</v>
      </c>
      <c r="AD144">
        <v>127.6</v>
      </c>
    </row>
    <row r="145" spans="1:30" x14ac:dyDescent="0.3">
      <c r="A145" t="s">
        <v>34</v>
      </c>
      <c r="B145">
        <v>2016</v>
      </c>
      <c r="C145" t="s">
        <v>46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>
        <v>143.1</v>
      </c>
      <c r="R145">
        <v>136.30000000000001</v>
      </c>
      <c r="S145">
        <v>129.80000000000001</v>
      </c>
      <c r="T145">
        <v>135.4</v>
      </c>
      <c r="U145">
        <v>128.5</v>
      </c>
      <c r="V145">
        <v>126.6</v>
      </c>
      <c r="W145">
        <v>129.19999999999999</v>
      </c>
      <c r="X145">
        <v>126.9</v>
      </c>
      <c r="Y145">
        <v>116</v>
      </c>
      <c r="Z145">
        <v>124.2</v>
      </c>
      <c r="AA145">
        <v>133.1</v>
      </c>
      <c r="AB145">
        <v>121.1</v>
      </c>
      <c r="AC145">
        <v>123.9</v>
      </c>
      <c r="AD145">
        <v>130.4</v>
      </c>
    </row>
    <row r="146" spans="1:30" x14ac:dyDescent="0.3">
      <c r="A146" t="s">
        <v>30</v>
      </c>
      <c r="B146">
        <v>2017</v>
      </c>
      <c r="C146" t="s">
        <v>31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>
        <v>143.1</v>
      </c>
      <c r="R146">
        <v>140.69999999999999</v>
      </c>
      <c r="S146">
        <v>135.80000000000001</v>
      </c>
      <c r="T146">
        <v>140</v>
      </c>
      <c r="U146" t="s">
        <v>32</v>
      </c>
      <c r="V146">
        <v>132.1</v>
      </c>
      <c r="W146">
        <v>133.19999999999999</v>
      </c>
      <c r="X146">
        <v>129.9</v>
      </c>
      <c r="Y146">
        <v>119.1</v>
      </c>
      <c r="Z146">
        <v>127</v>
      </c>
      <c r="AA146">
        <v>134.6</v>
      </c>
      <c r="AB146">
        <v>122.3</v>
      </c>
      <c r="AC146">
        <v>126.6</v>
      </c>
      <c r="AD146">
        <v>132.4</v>
      </c>
    </row>
    <row r="147" spans="1:30" x14ac:dyDescent="0.3">
      <c r="A147" t="s">
        <v>33</v>
      </c>
      <c r="B147">
        <v>2017</v>
      </c>
      <c r="C147" t="s">
        <v>31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>
        <v>145.6</v>
      </c>
      <c r="R147">
        <v>130.19999999999999</v>
      </c>
      <c r="S147">
        <v>122.3</v>
      </c>
      <c r="T147">
        <v>129</v>
      </c>
      <c r="U147">
        <v>129.6</v>
      </c>
      <c r="V147">
        <v>118</v>
      </c>
      <c r="W147">
        <v>125.1</v>
      </c>
      <c r="X147">
        <v>122.6</v>
      </c>
      <c r="Y147">
        <v>115.2</v>
      </c>
      <c r="Z147">
        <v>122</v>
      </c>
      <c r="AA147">
        <v>132.4</v>
      </c>
      <c r="AB147">
        <v>120.9</v>
      </c>
      <c r="AC147">
        <v>122.1</v>
      </c>
      <c r="AD147">
        <v>127.8</v>
      </c>
    </row>
    <row r="148" spans="1:30" x14ac:dyDescent="0.3">
      <c r="A148" t="s">
        <v>34</v>
      </c>
      <c r="B148">
        <v>2017</v>
      </c>
      <c r="C148" t="s">
        <v>31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>
        <v>143.80000000000001</v>
      </c>
      <c r="R148">
        <v>136.6</v>
      </c>
      <c r="S148">
        <v>130.19999999999999</v>
      </c>
      <c r="T148">
        <v>135.6</v>
      </c>
      <c r="U148">
        <v>129.6</v>
      </c>
      <c r="V148">
        <v>126.8</v>
      </c>
      <c r="W148">
        <v>129.4</v>
      </c>
      <c r="X148">
        <v>127.1</v>
      </c>
      <c r="Y148">
        <v>117</v>
      </c>
      <c r="Z148">
        <v>124.2</v>
      </c>
      <c r="AA148">
        <v>133.30000000000001</v>
      </c>
      <c r="AB148">
        <v>121.7</v>
      </c>
      <c r="AC148">
        <v>124.4</v>
      </c>
      <c r="AD148">
        <v>130.30000000000001</v>
      </c>
    </row>
    <row r="149" spans="1:30" x14ac:dyDescent="0.3">
      <c r="A149" t="s">
        <v>30</v>
      </c>
      <c r="B149">
        <v>2017</v>
      </c>
      <c r="C149" t="s">
        <v>35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>
        <v>143.69999999999999</v>
      </c>
      <c r="R149">
        <v>140.9</v>
      </c>
      <c r="S149">
        <v>135.80000000000001</v>
      </c>
      <c r="T149">
        <v>140.19999999999999</v>
      </c>
      <c r="U149" t="s">
        <v>32</v>
      </c>
      <c r="V149">
        <v>133.19999999999999</v>
      </c>
      <c r="W149">
        <v>133.6</v>
      </c>
      <c r="X149">
        <v>130.1</v>
      </c>
      <c r="Y149">
        <v>119.5</v>
      </c>
      <c r="Z149">
        <v>127.7</v>
      </c>
      <c r="AA149">
        <v>134.9</v>
      </c>
      <c r="AB149">
        <v>123.2</v>
      </c>
      <c r="AC149">
        <v>127</v>
      </c>
      <c r="AD149">
        <v>132.6</v>
      </c>
    </row>
    <row r="150" spans="1:30" x14ac:dyDescent="0.3">
      <c r="A150" t="s">
        <v>33</v>
      </c>
      <c r="B150">
        <v>2017</v>
      </c>
      <c r="C150" t="s">
        <v>35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>
        <v>146.30000000000001</v>
      </c>
      <c r="R150">
        <v>130.5</v>
      </c>
      <c r="S150">
        <v>122.5</v>
      </c>
      <c r="T150">
        <v>129.30000000000001</v>
      </c>
      <c r="U150">
        <v>130.5</v>
      </c>
      <c r="V150">
        <v>119.2</v>
      </c>
      <c r="W150">
        <v>125.3</v>
      </c>
      <c r="X150">
        <v>122.9</v>
      </c>
      <c r="Y150">
        <v>115.5</v>
      </c>
      <c r="Z150">
        <v>122.2</v>
      </c>
      <c r="AA150">
        <v>132.4</v>
      </c>
      <c r="AB150">
        <v>121.7</v>
      </c>
      <c r="AC150">
        <v>122.4</v>
      </c>
      <c r="AD150">
        <v>128.19999999999999</v>
      </c>
    </row>
    <row r="151" spans="1:30" x14ac:dyDescent="0.3">
      <c r="A151" t="s">
        <v>34</v>
      </c>
      <c r="B151">
        <v>2017</v>
      </c>
      <c r="C151" t="s">
        <v>35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>
        <v>144.4</v>
      </c>
      <c r="R151">
        <v>136.80000000000001</v>
      </c>
      <c r="S151">
        <v>130.30000000000001</v>
      </c>
      <c r="T151">
        <v>135.9</v>
      </c>
      <c r="U151">
        <v>130.5</v>
      </c>
      <c r="V151">
        <v>127.9</v>
      </c>
      <c r="W151">
        <v>129.69999999999999</v>
      </c>
      <c r="X151">
        <v>127.4</v>
      </c>
      <c r="Y151">
        <v>117.4</v>
      </c>
      <c r="Z151">
        <v>124.6</v>
      </c>
      <c r="AA151">
        <v>133.4</v>
      </c>
      <c r="AB151">
        <v>122.6</v>
      </c>
      <c r="AC151">
        <v>124.8</v>
      </c>
      <c r="AD151">
        <v>130.6</v>
      </c>
    </row>
    <row r="152" spans="1:30" x14ac:dyDescent="0.3">
      <c r="A152" t="s">
        <v>30</v>
      </c>
      <c r="B152">
        <v>2017</v>
      </c>
      <c r="C152" t="s">
        <v>36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>
        <v>144.19999999999999</v>
      </c>
      <c r="R152">
        <v>141.6</v>
      </c>
      <c r="S152">
        <v>136.19999999999999</v>
      </c>
      <c r="T152">
        <v>140.80000000000001</v>
      </c>
      <c r="U152" t="s">
        <v>32</v>
      </c>
      <c r="V152">
        <v>134.19999999999999</v>
      </c>
      <c r="W152">
        <v>134.1</v>
      </c>
      <c r="X152">
        <v>130.6</v>
      </c>
      <c r="Y152">
        <v>119.8</v>
      </c>
      <c r="Z152">
        <v>128.30000000000001</v>
      </c>
      <c r="AA152">
        <v>135.19999999999999</v>
      </c>
      <c r="AB152">
        <v>123.3</v>
      </c>
      <c r="AC152">
        <v>127.4</v>
      </c>
      <c r="AD152">
        <v>132.80000000000001</v>
      </c>
    </row>
    <row r="153" spans="1:30" x14ac:dyDescent="0.3">
      <c r="A153" t="s">
        <v>33</v>
      </c>
      <c r="B153">
        <v>2017</v>
      </c>
      <c r="C153" t="s">
        <v>36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>
        <v>147.5</v>
      </c>
      <c r="R153">
        <v>130.80000000000001</v>
      </c>
      <c r="S153">
        <v>122.8</v>
      </c>
      <c r="T153">
        <v>129.6</v>
      </c>
      <c r="U153">
        <v>131.1</v>
      </c>
      <c r="V153">
        <v>120.8</v>
      </c>
      <c r="W153">
        <v>125.6</v>
      </c>
      <c r="X153">
        <v>123.1</v>
      </c>
      <c r="Y153">
        <v>115.6</v>
      </c>
      <c r="Z153">
        <v>122.4</v>
      </c>
      <c r="AA153">
        <v>132.80000000000001</v>
      </c>
      <c r="AB153">
        <v>121.7</v>
      </c>
      <c r="AC153">
        <v>122.6</v>
      </c>
      <c r="AD153">
        <v>128.69999999999999</v>
      </c>
    </row>
    <row r="154" spans="1:30" x14ac:dyDescent="0.3">
      <c r="A154" t="s">
        <v>34</v>
      </c>
      <c r="B154">
        <v>2017</v>
      </c>
      <c r="C154" t="s">
        <v>36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>
        <v>145.1</v>
      </c>
      <c r="R154">
        <v>137.30000000000001</v>
      </c>
      <c r="S154">
        <v>130.6</v>
      </c>
      <c r="T154">
        <v>136.4</v>
      </c>
      <c r="U154">
        <v>131.1</v>
      </c>
      <c r="V154">
        <v>129.1</v>
      </c>
      <c r="W154">
        <v>130.1</v>
      </c>
      <c r="X154">
        <v>127.8</v>
      </c>
      <c r="Y154">
        <v>117.6</v>
      </c>
      <c r="Z154">
        <v>125</v>
      </c>
      <c r="AA154">
        <v>133.80000000000001</v>
      </c>
      <c r="AB154">
        <v>122.6</v>
      </c>
      <c r="AC154">
        <v>125.1</v>
      </c>
      <c r="AD154">
        <v>130.9</v>
      </c>
    </row>
    <row r="155" spans="1:30" x14ac:dyDescent="0.3">
      <c r="A155" t="s">
        <v>30</v>
      </c>
      <c r="B155">
        <v>2017</v>
      </c>
      <c r="C155" t="s">
        <v>37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>
        <v>144.4</v>
      </c>
      <c r="R155">
        <v>142.4</v>
      </c>
      <c r="S155">
        <v>136.80000000000001</v>
      </c>
      <c r="T155">
        <v>141.6</v>
      </c>
      <c r="U155" t="s">
        <v>32</v>
      </c>
      <c r="V155">
        <v>135</v>
      </c>
      <c r="W155">
        <v>134.30000000000001</v>
      </c>
      <c r="X155">
        <v>131</v>
      </c>
      <c r="Y155">
        <v>119.2</v>
      </c>
      <c r="Z155">
        <v>128.30000000000001</v>
      </c>
      <c r="AA155">
        <v>135.69999999999999</v>
      </c>
      <c r="AB155">
        <v>123.7</v>
      </c>
      <c r="AC155">
        <v>127.5</v>
      </c>
      <c r="AD155">
        <v>132.9</v>
      </c>
    </row>
    <row r="156" spans="1:30" x14ac:dyDescent="0.3">
      <c r="A156" t="s">
        <v>33</v>
      </c>
      <c r="B156">
        <v>2017</v>
      </c>
      <c r="C156" t="s">
        <v>37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>
        <v>148</v>
      </c>
      <c r="R156">
        <v>131.19999999999999</v>
      </c>
      <c r="S156">
        <v>123</v>
      </c>
      <c r="T156">
        <v>130</v>
      </c>
      <c r="U156">
        <v>131.69999999999999</v>
      </c>
      <c r="V156">
        <v>121.4</v>
      </c>
      <c r="W156">
        <v>126</v>
      </c>
      <c r="X156">
        <v>123.4</v>
      </c>
      <c r="Y156">
        <v>114.3</v>
      </c>
      <c r="Z156">
        <v>122.6</v>
      </c>
      <c r="AA156">
        <v>133.6</v>
      </c>
      <c r="AB156">
        <v>122.2</v>
      </c>
      <c r="AC156">
        <v>122.5</v>
      </c>
      <c r="AD156">
        <v>129.1</v>
      </c>
    </row>
    <row r="157" spans="1:30" x14ac:dyDescent="0.3">
      <c r="A157" t="s">
        <v>34</v>
      </c>
      <c r="B157">
        <v>2017</v>
      </c>
      <c r="C157" t="s">
        <v>37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>
        <v>145.4</v>
      </c>
      <c r="R157">
        <v>138</v>
      </c>
      <c r="S157">
        <v>131.1</v>
      </c>
      <c r="T157">
        <v>137</v>
      </c>
      <c r="U157">
        <v>131.69999999999999</v>
      </c>
      <c r="V157">
        <v>129.80000000000001</v>
      </c>
      <c r="W157">
        <v>130.4</v>
      </c>
      <c r="X157">
        <v>128.1</v>
      </c>
      <c r="Y157">
        <v>116.6</v>
      </c>
      <c r="Z157">
        <v>125.1</v>
      </c>
      <c r="AA157">
        <v>134.5</v>
      </c>
      <c r="AB157">
        <v>123.1</v>
      </c>
      <c r="AC157">
        <v>125.1</v>
      </c>
      <c r="AD157">
        <v>131.1</v>
      </c>
    </row>
    <row r="158" spans="1:30" x14ac:dyDescent="0.3">
      <c r="A158" t="s">
        <v>30</v>
      </c>
      <c r="B158">
        <v>2017</v>
      </c>
      <c r="C158" t="s">
        <v>38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>
        <v>145.5</v>
      </c>
      <c r="R158">
        <v>142.5</v>
      </c>
      <c r="S158">
        <v>137.30000000000001</v>
      </c>
      <c r="T158">
        <v>141.80000000000001</v>
      </c>
      <c r="U158" t="s">
        <v>32</v>
      </c>
      <c r="V158">
        <v>135</v>
      </c>
      <c r="W158">
        <v>134.9</v>
      </c>
      <c r="X158">
        <v>131.4</v>
      </c>
      <c r="Y158">
        <v>119.4</v>
      </c>
      <c r="Z158">
        <v>129.4</v>
      </c>
      <c r="AA158">
        <v>136.30000000000001</v>
      </c>
      <c r="AB158">
        <v>123.7</v>
      </c>
      <c r="AC158">
        <v>127.9</v>
      </c>
      <c r="AD158">
        <v>133.30000000000001</v>
      </c>
    </row>
    <row r="159" spans="1:30" x14ac:dyDescent="0.3">
      <c r="A159" t="s">
        <v>33</v>
      </c>
      <c r="B159">
        <v>2017</v>
      </c>
      <c r="C159" t="s">
        <v>38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>
        <v>148.30000000000001</v>
      </c>
      <c r="R159">
        <v>131.5</v>
      </c>
      <c r="S159">
        <v>123.2</v>
      </c>
      <c r="T159">
        <v>130.19999999999999</v>
      </c>
      <c r="U159">
        <v>132.1</v>
      </c>
      <c r="V159">
        <v>120.1</v>
      </c>
      <c r="W159">
        <v>126.5</v>
      </c>
      <c r="X159">
        <v>123.6</v>
      </c>
      <c r="Y159">
        <v>114.3</v>
      </c>
      <c r="Z159">
        <v>122.8</v>
      </c>
      <c r="AA159">
        <v>133.80000000000001</v>
      </c>
      <c r="AB159">
        <v>122</v>
      </c>
      <c r="AC159">
        <v>122.6</v>
      </c>
      <c r="AD159">
        <v>129.30000000000001</v>
      </c>
    </row>
    <row r="160" spans="1:30" x14ac:dyDescent="0.3">
      <c r="A160" t="s">
        <v>34</v>
      </c>
      <c r="B160">
        <v>2017</v>
      </c>
      <c r="C160" t="s">
        <v>38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>
        <v>146.19999999999999</v>
      </c>
      <c r="R160">
        <v>138.19999999999999</v>
      </c>
      <c r="S160">
        <v>131.4</v>
      </c>
      <c r="T160">
        <v>137.19999999999999</v>
      </c>
      <c r="U160">
        <v>132.1</v>
      </c>
      <c r="V160">
        <v>129.4</v>
      </c>
      <c r="W160">
        <v>130.9</v>
      </c>
      <c r="X160">
        <v>128.4</v>
      </c>
      <c r="Y160">
        <v>116.7</v>
      </c>
      <c r="Z160">
        <v>125.7</v>
      </c>
      <c r="AA160">
        <v>134.80000000000001</v>
      </c>
      <c r="AB160">
        <v>123</v>
      </c>
      <c r="AC160">
        <v>125.3</v>
      </c>
      <c r="AD160">
        <v>131.4</v>
      </c>
    </row>
    <row r="161" spans="1:30" x14ac:dyDescent="0.3">
      <c r="A161" t="s">
        <v>30</v>
      </c>
      <c r="B161">
        <v>2017</v>
      </c>
      <c r="C161" t="s">
        <v>39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>
        <v>145.80000000000001</v>
      </c>
      <c r="R161">
        <v>143.1</v>
      </c>
      <c r="S161">
        <v>137.69999999999999</v>
      </c>
      <c r="T161">
        <v>142.30000000000001</v>
      </c>
      <c r="U161" t="s">
        <v>32</v>
      </c>
      <c r="V161">
        <v>134.80000000000001</v>
      </c>
      <c r="W161">
        <v>135.19999999999999</v>
      </c>
      <c r="X161">
        <v>131.30000000000001</v>
      </c>
      <c r="Y161">
        <v>119.4</v>
      </c>
      <c r="Z161">
        <v>129.80000000000001</v>
      </c>
      <c r="AA161">
        <v>136.9</v>
      </c>
      <c r="AB161">
        <v>124.1</v>
      </c>
      <c r="AC161">
        <v>128.1</v>
      </c>
      <c r="AD161">
        <v>133.9</v>
      </c>
    </row>
    <row r="162" spans="1:30" x14ac:dyDescent="0.3">
      <c r="A162" t="s">
        <v>33</v>
      </c>
      <c r="B162">
        <v>2017</v>
      </c>
      <c r="C162" t="s">
        <v>39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>
        <v>148.6</v>
      </c>
      <c r="R162">
        <v>131.5</v>
      </c>
      <c r="S162">
        <v>123.2</v>
      </c>
      <c r="T162">
        <v>130.19999999999999</v>
      </c>
      <c r="U162">
        <v>131.4</v>
      </c>
      <c r="V162">
        <v>119</v>
      </c>
      <c r="W162">
        <v>126.8</v>
      </c>
      <c r="X162">
        <v>123.8</v>
      </c>
      <c r="Y162">
        <v>113.9</v>
      </c>
      <c r="Z162">
        <v>122.9</v>
      </c>
      <c r="AA162">
        <v>134.30000000000001</v>
      </c>
      <c r="AB162">
        <v>122.5</v>
      </c>
      <c r="AC162">
        <v>122.7</v>
      </c>
      <c r="AD162">
        <v>129.9</v>
      </c>
    </row>
    <row r="163" spans="1:30" x14ac:dyDescent="0.3">
      <c r="A163" t="s">
        <v>34</v>
      </c>
      <c r="B163">
        <v>2017</v>
      </c>
      <c r="C163" t="s">
        <v>39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>
        <v>146.5</v>
      </c>
      <c r="R163">
        <v>138.5</v>
      </c>
      <c r="S163">
        <v>131.69999999999999</v>
      </c>
      <c r="T163">
        <v>137.5</v>
      </c>
      <c r="U163">
        <v>131.4</v>
      </c>
      <c r="V163">
        <v>128.80000000000001</v>
      </c>
      <c r="W163">
        <v>131.19999999999999</v>
      </c>
      <c r="X163">
        <v>128.5</v>
      </c>
      <c r="Y163">
        <v>116.5</v>
      </c>
      <c r="Z163">
        <v>125.9</v>
      </c>
      <c r="AA163">
        <v>135.4</v>
      </c>
      <c r="AB163">
        <v>123.4</v>
      </c>
      <c r="AC163">
        <v>125.5</v>
      </c>
      <c r="AD163">
        <v>132</v>
      </c>
    </row>
    <row r="164" spans="1:30" x14ac:dyDescent="0.3">
      <c r="A164" t="s">
        <v>30</v>
      </c>
      <c r="B164">
        <v>2017</v>
      </c>
      <c r="C164" t="s">
        <v>40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>
        <v>147.4</v>
      </c>
      <c r="R164">
        <v>144.30000000000001</v>
      </c>
      <c r="S164">
        <v>138.1</v>
      </c>
      <c r="T164">
        <v>143.5</v>
      </c>
      <c r="U164" t="s">
        <v>32</v>
      </c>
      <c r="V164">
        <v>135.30000000000001</v>
      </c>
      <c r="W164">
        <v>136.1</v>
      </c>
      <c r="X164">
        <v>132.1</v>
      </c>
      <c r="Y164">
        <v>119.1</v>
      </c>
      <c r="Z164">
        <v>130.6</v>
      </c>
      <c r="AA164">
        <v>138.6</v>
      </c>
      <c r="AB164">
        <v>124.4</v>
      </c>
      <c r="AC164">
        <v>128.6</v>
      </c>
      <c r="AD164">
        <v>136.19999999999999</v>
      </c>
    </row>
    <row r="165" spans="1:30" x14ac:dyDescent="0.3">
      <c r="A165" t="s">
        <v>33</v>
      </c>
      <c r="B165">
        <v>2017</v>
      </c>
      <c r="C165" t="s">
        <v>40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>
        <v>150.5</v>
      </c>
      <c r="R165">
        <v>131.6</v>
      </c>
      <c r="S165">
        <v>123.7</v>
      </c>
      <c r="T165">
        <v>130.4</v>
      </c>
      <c r="U165">
        <v>132.6</v>
      </c>
      <c r="V165">
        <v>119.7</v>
      </c>
      <c r="W165">
        <v>127.2</v>
      </c>
      <c r="X165">
        <v>125</v>
      </c>
      <c r="Y165">
        <v>113.2</v>
      </c>
      <c r="Z165">
        <v>123.5</v>
      </c>
      <c r="AA165">
        <v>135.5</v>
      </c>
      <c r="AB165">
        <v>122.4</v>
      </c>
      <c r="AC165">
        <v>123</v>
      </c>
      <c r="AD165">
        <v>131.80000000000001</v>
      </c>
    </row>
    <row r="166" spans="1:30" x14ac:dyDescent="0.3">
      <c r="A166" t="s">
        <v>34</v>
      </c>
      <c r="B166">
        <v>2017</v>
      </c>
      <c r="C166" t="s">
        <v>40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>
        <v>148.19999999999999</v>
      </c>
      <c r="R166">
        <v>139.30000000000001</v>
      </c>
      <c r="S166">
        <v>132.1</v>
      </c>
      <c r="T166">
        <v>138.30000000000001</v>
      </c>
      <c r="U166">
        <v>132.6</v>
      </c>
      <c r="V166">
        <v>129.4</v>
      </c>
      <c r="W166">
        <v>131.9</v>
      </c>
      <c r="X166">
        <v>129.4</v>
      </c>
      <c r="Y166">
        <v>116</v>
      </c>
      <c r="Z166">
        <v>126.6</v>
      </c>
      <c r="AA166">
        <v>136.80000000000001</v>
      </c>
      <c r="AB166">
        <v>123.6</v>
      </c>
      <c r="AC166">
        <v>125.9</v>
      </c>
      <c r="AD166">
        <v>134.19999999999999</v>
      </c>
    </row>
    <row r="167" spans="1:30" x14ac:dyDescent="0.3">
      <c r="A167" t="s">
        <v>30</v>
      </c>
      <c r="B167">
        <v>2017</v>
      </c>
      <c r="C167" t="s">
        <v>41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>
        <v>149</v>
      </c>
      <c r="R167">
        <v>145.30000000000001</v>
      </c>
      <c r="S167">
        <v>139.19999999999999</v>
      </c>
      <c r="T167">
        <v>144.5</v>
      </c>
      <c r="U167" t="s">
        <v>32</v>
      </c>
      <c r="V167">
        <v>136.4</v>
      </c>
      <c r="W167">
        <v>137.30000000000001</v>
      </c>
      <c r="X167">
        <v>133</v>
      </c>
      <c r="Y167">
        <v>120.3</v>
      </c>
      <c r="Z167">
        <v>131.5</v>
      </c>
      <c r="AA167">
        <v>140.19999999999999</v>
      </c>
      <c r="AB167">
        <v>125.4</v>
      </c>
      <c r="AC167">
        <v>129.69999999999999</v>
      </c>
      <c r="AD167">
        <v>137.80000000000001</v>
      </c>
    </row>
    <row r="168" spans="1:30" x14ac:dyDescent="0.3">
      <c r="A168" t="s">
        <v>33</v>
      </c>
      <c r="B168">
        <v>2017</v>
      </c>
      <c r="C168" t="s">
        <v>41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>
        <v>152.1</v>
      </c>
      <c r="R168">
        <v>132.69999999999999</v>
      </c>
      <c r="S168">
        <v>124.3</v>
      </c>
      <c r="T168">
        <v>131.4</v>
      </c>
      <c r="U168">
        <v>134.4</v>
      </c>
      <c r="V168">
        <v>118.9</v>
      </c>
      <c r="W168">
        <v>127.7</v>
      </c>
      <c r="X168">
        <v>125.7</v>
      </c>
      <c r="Y168">
        <v>114.6</v>
      </c>
      <c r="Z168">
        <v>124.1</v>
      </c>
      <c r="AA168">
        <v>135.69999999999999</v>
      </c>
      <c r="AB168">
        <v>123.3</v>
      </c>
      <c r="AC168">
        <v>123.8</v>
      </c>
      <c r="AD168">
        <v>132.69999999999999</v>
      </c>
    </row>
    <row r="169" spans="1:30" x14ac:dyDescent="0.3">
      <c r="A169" t="s">
        <v>34</v>
      </c>
      <c r="B169">
        <v>2017</v>
      </c>
      <c r="C169" t="s">
        <v>41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>
        <v>149.80000000000001</v>
      </c>
      <c r="R169">
        <v>140.30000000000001</v>
      </c>
      <c r="S169">
        <v>133</v>
      </c>
      <c r="T169">
        <v>139.30000000000001</v>
      </c>
      <c r="U169">
        <v>134.4</v>
      </c>
      <c r="V169">
        <v>129.80000000000001</v>
      </c>
      <c r="W169">
        <v>132.80000000000001</v>
      </c>
      <c r="X169">
        <v>130.19999999999999</v>
      </c>
      <c r="Y169">
        <v>117.3</v>
      </c>
      <c r="Z169">
        <v>127.3</v>
      </c>
      <c r="AA169">
        <v>137.6</v>
      </c>
      <c r="AB169">
        <v>124.5</v>
      </c>
      <c r="AC169">
        <v>126.8</v>
      </c>
      <c r="AD169">
        <v>135.4</v>
      </c>
    </row>
    <row r="170" spans="1:30" x14ac:dyDescent="0.3">
      <c r="A170" t="s">
        <v>30</v>
      </c>
      <c r="B170">
        <v>2017</v>
      </c>
      <c r="C170" t="s">
        <v>42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>
        <v>149.80000000000001</v>
      </c>
      <c r="R170">
        <v>146.1</v>
      </c>
      <c r="S170">
        <v>139.69999999999999</v>
      </c>
      <c r="T170">
        <v>145.19999999999999</v>
      </c>
      <c r="U170" t="s">
        <v>32</v>
      </c>
      <c r="V170">
        <v>137.4</v>
      </c>
      <c r="W170">
        <v>137.9</v>
      </c>
      <c r="X170">
        <v>133.4</v>
      </c>
      <c r="Y170">
        <v>121.2</v>
      </c>
      <c r="Z170">
        <v>132.30000000000001</v>
      </c>
      <c r="AA170">
        <v>139.6</v>
      </c>
      <c r="AB170">
        <v>126.7</v>
      </c>
      <c r="AC170">
        <v>130.30000000000001</v>
      </c>
      <c r="AD170">
        <v>137.6</v>
      </c>
    </row>
    <row r="171" spans="1:30" x14ac:dyDescent="0.3">
      <c r="A171" t="s">
        <v>33</v>
      </c>
      <c r="B171">
        <v>2017</v>
      </c>
      <c r="C171" t="s">
        <v>42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>
        <v>153.6</v>
      </c>
      <c r="R171">
        <v>133.30000000000001</v>
      </c>
      <c r="S171">
        <v>124.6</v>
      </c>
      <c r="T171">
        <v>132</v>
      </c>
      <c r="U171">
        <v>135.69999999999999</v>
      </c>
      <c r="V171">
        <v>120.6</v>
      </c>
      <c r="W171">
        <v>128.1</v>
      </c>
      <c r="X171">
        <v>126.1</v>
      </c>
      <c r="Y171">
        <v>115.7</v>
      </c>
      <c r="Z171">
        <v>124.5</v>
      </c>
      <c r="AA171">
        <v>135.9</v>
      </c>
      <c r="AB171">
        <v>124.4</v>
      </c>
      <c r="AC171">
        <v>124.5</v>
      </c>
      <c r="AD171">
        <v>132.4</v>
      </c>
    </row>
    <row r="172" spans="1:30" x14ac:dyDescent="0.3">
      <c r="A172" t="s">
        <v>34</v>
      </c>
      <c r="B172">
        <v>2017</v>
      </c>
      <c r="C172" t="s">
        <v>42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>
        <v>150.80000000000001</v>
      </c>
      <c r="R172">
        <v>141.1</v>
      </c>
      <c r="S172">
        <v>133.4</v>
      </c>
      <c r="T172">
        <v>140</v>
      </c>
      <c r="U172">
        <v>135.69999999999999</v>
      </c>
      <c r="V172">
        <v>131</v>
      </c>
      <c r="W172">
        <v>133.30000000000001</v>
      </c>
      <c r="X172">
        <v>130.6</v>
      </c>
      <c r="Y172">
        <v>118.3</v>
      </c>
      <c r="Z172">
        <v>127.9</v>
      </c>
      <c r="AA172">
        <v>137.4</v>
      </c>
      <c r="AB172">
        <v>125.7</v>
      </c>
      <c r="AC172">
        <v>127.5</v>
      </c>
      <c r="AD172">
        <v>135.19999999999999</v>
      </c>
    </row>
    <row r="173" spans="1:30" x14ac:dyDescent="0.3">
      <c r="A173" t="s">
        <v>30</v>
      </c>
      <c r="B173">
        <v>2017</v>
      </c>
      <c r="C173" t="s">
        <v>43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>
        <v>150.5</v>
      </c>
      <c r="R173">
        <v>147.19999999999999</v>
      </c>
      <c r="S173">
        <v>140.6</v>
      </c>
      <c r="T173">
        <v>146.19999999999999</v>
      </c>
      <c r="U173" t="s">
        <v>32</v>
      </c>
      <c r="V173">
        <v>138.1</v>
      </c>
      <c r="W173">
        <v>138.4</v>
      </c>
      <c r="X173">
        <v>134.19999999999999</v>
      </c>
      <c r="Y173">
        <v>121</v>
      </c>
      <c r="Z173">
        <v>133</v>
      </c>
      <c r="AA173">
        <v>140.1</v>
      </c>
      <c r="AB173">
        <v>127.4</v>
      </c>
      <c r="AC173">
        <v>130.69999999999999</v>
      </c>
      <c r="AD173">
        <v>138.30000000000001</v>
      </c>
    </row>
    <row r="174" spans="1:30" x14ac:dyDescent="0.3">
      <c r="A174" t="s">
        <v>33</v>
      </c>
      <c r="B174">
        <v>2017</v>
      </c>
      <c r="C174" t="s">
        <v>43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>
        <v>154.6</v>
      </c>
      <c r="R174">
        <v>134</v>
      </c>
      <c r="S174">
        <v>124.9</v>
      </c>
      <c r="T174">
        <v>132.6</v>
      </c>
      <c r="U174">
        <v>137.30000000000001</v>
      </c>
      <c r="V174">
        <v>122.6</v>
      </c>
      <c r="W174">
        <v>128.30000000000001</v>
      </c>
      <c r="X174">
        <v>126.6</v>
      </c>
      <c r="Y174">
        <v>115</v>
      </c>
      <c r="Z174">
        <v>124.8</v>
      </c>
      <c r="AA174">
        <v>136.30000000000001</v>
      </c>
      <c r="AB174">
        <v>124.6</v>
      </c>
      <c r="AC174">
        <v>124.5</v>
      </c>
      <c r="AD174">
        <v>133.5</v>
      </c>
    </row>
    <row r="175" spans="1:30" x14ac:dyDescent="0.3">
      <c r="A175" t="s">
        <v>34</v>
      </c>
      <c r="B175">
        <v>2017</v>
      </c>
      <c r="C175" t="s">
        <v>43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>
        <v>151.6</v>
      </c>
      <c r="R175">
        <v>142</v>
      </c>
      <c r="S175">
        <v>134.1</v>
      </c>
      <c r="T175">
        <v>140.80000000000001</v>
      </c>
      <c r="U175">
        <v>137.30000000000001</v>
      </c>
      <c r="V175">
        <v>132.19999999999999</v>
      </c>
      <c r="W175">
        <v>133.6</v>
      </c>
      <c r="X175">
        <v>131.30000000000001</v>
      </c>
      <c r="Y175">
        <v>117.8</v>
      </c>
      <c r="Z175">
        <v>128.4</v>
      </c>
      <c r="AA175">
        <v>137.9</v>
      </c>
      <c r="AB175">
        <v>126.2</v>
      </c>
      <c r="AC175">
        <v>127.7</v>
      </c>
      <c r="AD175">
        <v>136.1</v>
      </c>
    </row>
    <row r="176" spans="1:30" x14ac:dyDescent="0.3">
      <c r="A176" t="s">
        <v>30</v>
      </c>
      <c r="B176">
        <v>2017</v>
      </c>
      <c r="C176" t="s">
        <v>45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>
        <v>152.1</v>
      </c>
      <c r="R176">
        <v>148.19999999999999</v>
      </c>
      <c r="S176">
        <v>141.5</v>
      </c>
      <c r="T176">
        <v>147.30000000000001</v>
      </c>
      <c r="U176" t="s">
        <v>32</v>
      </c>
      <c r="V176">
        <v>141.1</v>
      </c>
      <c r="W176">
        <v>139.4</v>
      </c>
      <c r="X176">
        <v>135.80000000000001</v>
      </c>
      <c r="Y176">
        <v>121.6</v>
      </c>
      <c r="Z176">
        <v>133.69999999999999</v>
      </c>
      <c r="AA176">
        <v>141.5</v>
      </c>
      <c r="AB176">
        <v>128.1</v>
      </c>
      <c r="AC176">
        <v>131.69999999999999</v>
      </c>
      <c r="AD176">
        <v>140</v>
      </c>
    </row>
    <row r="177" spans="1:30" x14ac:dyDescent="0.3">
      <c r="A177" t="s">
        <v>33</v>
      </c>
      <c r="B177">
        <v>2017</v>
      </c>
      <c r="C177" t="s">
        <v>45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>
        <v>156.19999999999999</v>
      </c>
      <c r="R177">
        <v>135</v>
      </c>
      <c r="S177">
        <v>125.4</v>
      </c>
      <c r="T177">
        <v>133.5</v>
      </c>
      <c r="U177">
        <v>138.6</v>
      </c>
      <c r="V177">
        <v>125.7</v>
      </c>
      <c r="W177">
        <v>128.80000000000001</v>
      </c>
      <c r="X177">
        <v>127.4</v>
      </c>
      <c r="Y177">
        <v>115.3</v>
      </c>
      <c r="Z177">
        <v>125.1</v>
      </c>
      <c r="AA177">
        <v>136.6</v>
      </c>
      <c r="AB177">
        <v>124.9</v>
      </c>
      <c r="AC177">
        <v>124.9</v>
      </c>
      <c r="AD177">
        <v>134.80000000000001</v>
      </c>
    </row>
    <row r="178" spans="1:30" x14ac:dyDescent="0.3">
      <c r="A178" t="s">
        <v>34</v>
      </c>
      <c r="B178">
        <v>2017</v>
      </c>
      <c r="C178" t="s">
        <v>45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>
        <v>153.19999999999999</v>
      </c>
      <c r="R178">
        <v>143</v>
      </c>
      <c r="S178">
        <v>134.80000000000001</v>
      </c>
      <c r="T178">
        <v>141.80000000000001</v>
      </c>
      <c r="U178">
        <v>138.6</v>
      </c>
      <c r="V178">
        <v>135.30000000000001</v>
      </c>
      <c r="W178">
        <v>134.4</v>
      </c>
      <c r="X178">
        <v>132.6</v>
      </c>
      <c r="Y178">
        <v>118.3</v>
      </c>
      <c r="Z178">
        <v>128.9</v>
      </c>
      <c r="AA178">
        <v>138.6</v>
      </c>
      <c r="AB178">
        <v>126.8</v>
      </c>
      <c r="AC178">
        <v>128.4</v>
      </c>
      <c r="AD178">
        <v>137.6</v>
      </c>
    </row>
    <row r="179" spans="1:30" x14ac:dyDescent="0.3">
      <c r="A179" t="s">
        <v>30</v>
      </c>
      <c r="B179">
        <v>2017</v>
      </c>
      <c r="C179" t="s">
        <v>46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>
        <v>153.19999999999999</v>
      </c>
      <c r="R179">
        <v>148</v>
      </c>
      <c r="S179">
        <v>141.9</v>
      </c>
      <c r="T179">
        <v>147.19999999999999</v>
      </c>
      <c r="U179" t="s">
        <v>32</v>
      </c>
      <c r="V179">
        <v>142.6</v>
      </c>
      <c r="W179">
        <v>139.5</v>
      </c>
      <c r="X179">
        <v>136.1</v>
      </c>
      <c r="Y179">
        <v>122</v>
      </c>
      <c r="Z179">
        <v>133.4</v>
      </c>
      <c r="AA179">
        <v>141.1</v>
      </c>
      <c r="AB179">
        <v>127.8</v>
      </c>
      <c r="AC179">
        <v>131.9</v>
      </c>
      <c r="AD179">
        <v>139.80000000000001</v>
      </c>
    </row>
    <row r="180" spans="1:30" x14ac:dyDescent="0.3">
      <c r="A180" t="s">
        <v>33</v>
      </c>
      <c r="B180">
        <v>2017</v>
      </c>
      <c r="C180" t="s">
        <v>46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>
        <v>157</v>
      </c>
      <c r="R180">
        <v>135.6</v>
      </c>
      <c r="S180">
        <v>125.6</v>
      </c>
      <c r="T180">
        <v>134</v>
      </c>
      <c r="U180">
        <v>139.1</v>
      </c>
      <c r="V180">
        <v>126.8</v>
      </c>
      <c r="W180">
        <v>129.30000000000001</v>
      </c>
      <c r="X180">
        <v>128.19999999999999</v>
      </c>
      <c r="Y180">
        <v>115.3</v>
      </c>
      <c r="Z180">
        <v>125.6</v>
      </c>
      <c r="AA180">
        <v>136.69999999999999</v>
      </c>
      <c r="AB180">
        <v>124.6</v>
      </c>
      <c r="AC180">
        <v>125.1</v>
      </c>
      <c r="AD180">
        <v>134.1</v>
      </c>
    </row>
    <row r="181" spans="1:30" x14ac:dyDescent="0.3">
      <c r="A181" t="s">
        <v>34</v>
      </c>
      <c r="B181">
        <v>2017</v>
      </c>
      <c r="C181" t="s">
        <v>46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>
        <v>154.19999999999999</v>
      </c>
      <c r="R181">
        <v>143.1</v>
      </c>
      <c r="S181">
        <v>135.1</v>
      </c>
      <c r="T181">
        <v>142</v>
      </c>
      <c r="U181">
        <v>139.1</v>
      </c>
      <c r="V181">
        <v>136.6</v>
      </c>
      <c r="W181">
        <v>134.69999999999999</v>
      </c>
      <c r="X181">
        <v>133.1</v>
      </c>
      <c r="Y181">
        <v>118.5</v>
      </c>
      <c r="Z181">
        <v>129</v>
      </c>
      <c r="AA181">
        <v>138.5</v>
      </c>
      <c r="AB181">
        <v>126.5</v>
      </c>
      <c r="AC181">
        <v>128.6</v>
      </c>
      <c r="AD181">
        <v>137.19999999999999</v>
      </c>
    </row>
    <row r="182" spans="1:30" x14ac:dyDescent="0.3">
      <c r="A182" t="s">
        <v>30</v>
      </c>
      <c r="B182">
        <v>2018</v>
      </c>
      <c r="C182" t="s">
        <v>31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>
        <v>153.6</v>
      </c>
      <c r="R182">
        <v>148.30000000000001</v>
      </c>
      <c r="S182">
        <v>142.30000000000001</v>
      </c>
      <c r="T182">
        <v>147.5</v>
      </c>
      <c r="U182" t="s">
        <v>32</v>
      </c>
      <c r="V182">
        <v>142.30000000000001</v>
      </c>
      <c r="W182">
        <v>139.80000000000001</v>
      </c>
      <c r="X182">
        <v>136</v>
      </c>
      <c r="Y182">
        <v>122.7</v>
      </c>
      <c r="Z182">
        <v>134.30000000000001</v>
      </c>
      <c r="AA182">
        <v>141.6</v>
      </c>
      <c r="AB182">
        <v>128.6</v>
      </c>
      <c r="AC182">
        <v>132.30000000000001</v>
      </c>
      <c r="AD182">
        <v>139.30000000000001</v>
      </c>
    </row>
    <row r="183" spans="1:30" x14ac:dyDescent="0.3">
      <c r="A183" t="s">
        <v>33</v>
      </c>
      <c r="B183">
        <v>2018</v>
      </c>
      <c r="C183" t="s">
        <v>31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>
        <v>157.69999999999999</v>
      </c>
      <c r="R183">
        <v>136</v>
      </c>
      <c r="S183">
        <v>125.9</v>
      </c>
      <c r="T183">
        <v>134.4</v>
      </c>
      <c r="U183">
        <v>140.4</v>
      </c>
      <c r="V183">
        <v>127.3</v>
      </c>
      <c r="W183">
        <v>129.5</v>
      </c>
      <c r="X183">
        <v>129</v>
      </c>
      <c r="Y183">
        <v>116.3</v>
      </c>
      <c r="Z183">
        <v>126.2</v>
      </c>
      <c r="AA183">
        <v>137.1</v>
      </c>
      <c r="AB183">
        <v>125.5</v>
      </c>
      <c r="AC183">
        <v>125.8</v>
      </c>
      <c r="AD183">
        <v>134.1</v>
      </c>
    </row>
    <row r="184" spans="1:30" x14ac:dyDescent="0.3">
      <c r="A184" t="s">
        <v>34</v>
      </c>
      <c r="B184">
        <v>2018</v>
      </c>
      <c r="C184" t="s">
        <v>31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>
        <v>154.69999999999999</v>
      </c>
      <c r="R184">
        <v>143.5</v>
      </c>
      <c r="S184">
        <v>135.5</v>
      </c>
      <c r="T184">
        <v>142.30000000000001</v>
      </c>
      <c r="U184">
        <v>140.4</v>
      </c>
      <c r="V184">
        <v>136.6</v>
      </c>
      <c r="W184">
        <v>134.9</v>
      </c>
      <c r="X184">
        <v>133.30000000000001</v>
      </c>
      <c r="Y184">
        <v>119.3</v>
      </c>
      <c r="Z184">
        <v>129.69999999999999</v>
      </c>
      <c r="AA184">
        <v>139</v>
      </c>
      <c r="AB184">
        <v>127.3</v>
      </c>
      <c r="AC184">
        <v>129.1</v>
      </c>
      <c r="AD184">
        <v>136.9</v>
      </c>
    </row>
    <row r="185" spans="1:30" x14ac:dyDescent="0.3">
      <c r="A185" t="s">
        <v>30</v>
      </c>
      <c r="B185">
        <v>2018</v>
      </c>
      <c r="C185" t="s">
        <v>35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>
        <v>153.30000000000001</v>
      </c>
      <c r="R185">
        <v>148.69999999999999</v>
      </c>
      <c r="S185">
        <v>142.4</v>
      </c>
      <c r="T185">
        <v>147.80000000000001</v>
      </c>
      <c r="U185" t="s">
        <v>32</v>
      </c>
      <c r="V185">
        <v>142.4</v>
      </c>
      <c r="W185">
        <v>139.9</v>
      </c>
      <c r="X185">
        <v>136.19999999999999</v>
      </c>
      <c r="Y185">
        <v>123.3</v>
      </c>
      <c r="Z185">
        <v>134.30000000000001</v>
      </c>
      <c r="AA185">
        <v>141.5</v>
      </c>
      <c r="AB185">
        <v>128.80000000000001</v>
      </c>
      <c r="AC185">
        <v>132.5</v>
      </c>
      <c r="AD185">
        <v>138.5</v>
      </c>
    </row>
    <row r="186" spans="1:30" x14ac:dyDescent="0.3">
      <c r="A186" t="s">
        <v>33</v>
      </c>
      <c r="B186">
        <v>2018</v>
      </c>
      <c r="C186" t="s">
        <v>35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>
        <v>159.30000000000001</v>
      </c>
      <c r="R186">
        <v>136.30000000000001</v>
      </c>
      <c r="S186">
        <v>126.1</v>
      </c>
      <c r="T186">
        <v>134.69999999999999</v>
      </c>
      <c r="U186">
        <v>141.30000000000001</v>
      </c>
      <c r="V186">
        <v>127.3</v>
      </c>
      <c r="W186">
        <v>129.9</v>
      </c>
      <c r="X186">
        <v>129.80000000000001</v>
      </c>
      <c r="Y186">
        <v>117.4</v>
      </c>
      <c r="Z186">
        <v>126.5</v>
      </c>
      <c r="AA186">
        <v>137.19999999999999</v>
      </c>
      <c r="AB186">
        <v>126.2</v>
      </c>
      <c r="AC186">
        <v>126.5</v>
      </c>
      <c r="AD186">
        <v>134</v>
      </c>
    </row>
    <row r="187" spans="1:30" x14ac:dyDescent="0.3">
      <c r="A187" t="s">
        <v>34</v>
      </c>
      <c r="B187">
        <v>2018</v>
      </c>
      <c r="C187" t="s">
        <v>35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>
        <v>154.9</v>
      </c>
      <c r="R187">
        <v>143.80000000000001</v>
      </c>
      <c r="S187">
        <v>135.6</v>
      </c>
      <c r="T187">
        <v>142.6</v>
      </c>
      <c r="U187">
        <v>141.30000000000001</v>
      </c>
      <c r="V187">
        <v>136.69999999999999</v>
      </c>
      <c r="W187">
        <v>135.19999999999999</v>
      </c>
      <c r="X187">
        <v>133.80000000000001</v>
      </c>
      <c r="Y187">
        <v>120.2</v>
      </c>
      <c r="Z187">
        <v>129.9</v>
      </c>
      <c r="AA187">
        <v>139</v>
      </c>
      <c r="AB187">
        <v>127.7</v>
      </c>
      <c r="AC187">
        <v>129.6</v>
      </c>
      <c r="AD187">
        <v>136.4</v>
      </c>
    </row>
    <row r="188" spans="1:30" x14ac:dyDescent="0.3">
      <c r="A188" t="s">
        <v>30</v>
      </c>
      <c r="B188">
        <v>2018</v>
      </c>
      <c r="C188" t="s">
        <v>36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>
        <v>155.1</v>
      </c>
      <c r="R188">
        <v>149.19999999999999</v>
      </c>
      <c r="S188">
        <v>143</v>
      </c>
      <c r="T188">
        <v>148.30000000000001</v>
      </c>
      <c r="U188" t="s">
        <v>32</v>
      </c>
      <c r="V188">
        <v>142.6</v>
      </c>
      <c r="W188">
        <v>139.9</v>
      </c>
      <c r="X188">
        <v>136.69999999999999</v>
      </c>
      <c r="Y188">
        <v>124.6</v>
      </c>
      <c r="Z188">
        <v>135.1</v>
      </c>
      <c r="AA188">
        <v>142.69999999999999</v>
      </c>
      <c r="AB188">
        <v>129.30000000000001</v>
      </c>
      <c r="AC188">
        <v>133.30000000000001</v>
      </c>
      <c r="AD188">
        <v>138.69999999999999</v>
      </c>
    </row>
    <row r="189" spans="1:30" x14ac:dyDescent="0.3">
      <c r="A189" t="s">
        <v>33</v>
      </c>
      <c r="B189">
        <v>2018</v>
      </c>
      <c r="C189" t="s">
        <v>36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>
        <v>159.69999999999999</v>
      </c>
      <c r="R189">
        <v>136.69999999999999</v>
      </c>
      <c r="S189">
        <v>126.7</v>
      </c>
      <c r="T189">
        <v>135.19999999999999</v>
      </c>
      <c r="U189">
        <v>142</v>
      </c>
      <c r="V189">
        <v>126.4</v>
      </c>
      <c r="W189">
        <v>130.80000000000001</v>
      </c>
      <c r="X189">
        <v>130.5</v>
      </c>
      <c r="Y189">
        <v>117.8</v>
      </c>
      <c r="Z189">
        <v>126.8</v>
      </c>
      <c r="AA189">
        <v>137.80000000000001</v>
      </c>
      <c r="AB189">
        <v>126.7</v>
      </c>
      <c r="AC189">
        <v>127.1</v>
      </c>
      <c r="AD189">
        <v>134</v>
      </c>
    </row>
    <row r="190" spans="1:30" x14ac:dyDescent="0.3">
      <c r="A190" t="s">
        <v>34</v>
      </c>
      <c r="B190">
        <v>2018</v>
      </c>
      <c r="C190" t="s">
        <v>36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>
        <v>156.30000000000001</v>
      </c>
      <c r="R190">
        <v>144.30000000000001</v>
      </c>
      <c r="S190">
        <v>136.19999999999999</v>
      </c>
      <c r="T190">
        <v>143.1</v>
      </c>
      <c r="U190">
        <v>142</v>
      </c>
      <c r="V190">
        <v>136.5</v>
      </c>
      <c r="W190">
        <v>135.6</v>
      </c>
      <c r="X190">
        <v>134.30000000000001</v>
      </c>
      <c r="Y190">
        <v>121</v>
      </c>
      <c r="Z190">
        <v>130.4</v>
      </c>
      <c r="AA190">
        <v>139.80000000000001</v>
      </c>
      <c r="AB190">
        <v>128.19999999999999</v>
      </c>
      <c r="AC190">
        <v>130.30000000000001</v>
      </c>
      <c r="AD190">
        <v>136.5</v>
      </c>
    </row>
    <row r="191" spans="1:30" x14ac:dyDescent="0.3">
      <c r="A191" t="s">
        <v>30</v>
      </c>
      <c r="B191">
        <v>2018</v>
      </c>
      <c r="C191" t="s">
        <v>37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>
        <v>156.1</v>
      </c>
      <c r="R191">
        <v>150.1</v>
      </c>
      <c r="S191">
        <v>143.30000000000001</v>
      </c>
      <c r="T191">
        <v>149.1</v>
      </c>
      <c r="U191" t="s">
        <v>32</v>
      </c>
      <c r="V191">
        <v>143.80000000000001</v>
      </c>
      <c r="W191">
        <v>140.9</v>
      </c>
      <c r="X191">
        <v>137.6</v>
      </c>
      <c r="Y191">
        <v>125.3</v>
      </c>
      <c r="Z191">
        <v>136</v>
      </c>
      <c r="AA191">
        <v>143.69999999999999</v>
      </c>
      <c r="AB191">
        <v>130.4</v>
      </c>
      <c r="AC191">
        <v>134.19999999999999</v>
      </c>
      <c r="AD191">
        <v>139.1</v>
      </c>
    </row>
    <row r="192" spans="1:30" x14ac:dyDescent="0.3">
      <c r="A192" t="s">
        <v>33</v>
      </c>
      <c r="B192">
        <v>2018</v>
      </c>
      <c r="C192" t="s">
        <v>37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>
        <v>159.19999999999999</v>
      </c>
      <c r="R192">
        <v>137.80000000000001</v>
      </c>
      <c r="S192">
        <v>127.4</v>
      </c>
      <c r="T192">
        <v>136.19999999999999</v>
      </c>
      <c r="U192">
        <v>142.9</v>
      </c>
      <c r="V192">
        <v>124.6</v>
      </c>
      <c r="W192">
        <v>131.80000000000001</v>
      </c>
      <c r="X192">
        <v>131.30000000000001</v>
      </c>
      <c r="Y192">
        <v>118.9</v>
      </c>
      <c r="Z192">
        <v>127.6</v>
      </c>
      <c r="AA192">
        <v>139.69999999999999</v>
      </c>
      <c r="AB192">
        <v>127.6</v>
      </c>
      <c r="AC192">
        <v>128.19999999999999</v>
      </c>
      <c r="AD192">
        <v>134.80000000000001</v>
      </c>
    </row>
    <row r="193" spans="1:30" x14ac:dyDescent="0.3">
      <c r="A193" t="s">
        <v>34</v>
      </c>
      <c r="B193">
        <v>2018</v>
      </c>
      <c r="C193" t="s">
        <v>37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>
        <v>156.9</v>
      </c>
      <c r="R193">
        <v>145.30000000000001</v>
      </c>
      <c r="S193">
        <v>136.69999999999999</v>
      </c>
      <c r="T193">
        <v>144</v>
      </c>
      <c r="U193">
        <v>142.9</v>
      </c>
      <c r="V193">
        <v>136.5</v>
      </c>
      <c r="W193">
        <v>136.6</v>
      </c>
      <c r="X193">
        <v>135.19999999999999</v>
      </c>
      <c r="Y193">
        <v>121.9</v>
      </c>
      <c r="Z193">
        <v>131.30000000000001</v>
      </c>
      <c r="AA193">
        <v>141.4</v>
      </c>
      <c r="AB193">
        <v>129.19999999999999</v>
      </c>
      <c r="AC193">
        <v>131.30000000000001</v>
      </c>
      <c r="AD193">
        <v>137.1</v>
      </c>
    </row>
    <row r="194" spans="1:30" x14ac:dyDescent="0.3">
      <c r="A194" t="s">
        <v>30</v>
      </c>
      <c r="B194">
        <v>2018</v>
      </c>
      <c r="C194" t="s">
        <v>38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>
        <v>157</v>
      </c>
      <c r="R194">
        <v>150.80000000000001</v>
      </c>
      <c r="S194">
        <v>144.1</v>
      </c>
      <c r="T194">
        <v>149.80000000000001</v>
      </c>
      <c r="U194" t="s">
        <v>32</v>
      </c>
      <c r="V194">
        <v>144.30000000000001</v>
      </c>
      <c r="W194">
        <v>141.80000000000001</v>
      </c>
      <c r="X194">
        <v>138.4</v>
      </c>
      <c r="Y194">
        <v>126.4</v>
      </c>
      <c r="Z194">
        <v>136.80000000000001</v>
      </c>
      <c r="AA194">
        <v>144.4</v>
      </c>
      <c r="AB194">
        <v>131.19999999999999</v>
      </c>
      <c r="AC194">
        <v>135.1</v>
      </c>
      <c r="AD194">
        <v>139.80000000000001</v>
      </c>
    </row>
    <row r="195" spans="1:30" x14ac:dyDescent="0.3">
      <c r="A195" t="s">
        <v>33</v>
      </c>
      <c r="B195">
        <v>2018</v>
      </c>
      <c r="C195" t="s">
        <v>38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>
        <v>160.30000000000001</v>
      </c>
      <c r="R195">
        <v>138.6</v>
      </c>
      <c r="S195">
        <v>127.9</v>
      </c>
      <c r="T195">
        <v>137</v>
      </c>
      <c r="U195">
        <v>143.19999999999999</v>
      </c>
      <c r="V195">
        <v>124.7</v>
      </c>
      <c r="W195">
        <v>132.5</v>
      </c>
      <c r="X195">
        <v>132</v>
      </c>
      <c r="Y195">
        <v>119.8</v>
      </c>
      <c r="Z195">
        <v>128</v>
      </c>
      <c r="AA195">
        <v>140.4</v>
      </c>
      <c r="AB195">
        <v>128.1</v>
      </c>
      <c r="AC195">
        <v>128.9</v>
      </c>
      <c r="AD195">
        <v>135.4</v>
      </c>
    </row>
    <row r="196" spans="1:30" x14ac:dyDescent="0.3">
      <c r="A196" t="s">
        <v>34</v>
      </c>
      <c r="B196">
        <v>2018</v>
      </c>
      <c r="C196" t="s">
        <v>38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>
        <v>157.9</v>
      </c>
      <c r="R196">
        <v>146</v>
      </c>
      <c r="S196">
        <v>137.4</v>
      </c>
      <c r="T196">
        <v>144.69999999999999</v>
      </c>
      <c r="U196">
        <v>143.19999999999999</v>
      </c>
      <c r="V196">
        <v>136.9</v>
      </c>
      <c r="W196">
        <v>137.4</v>
      </c>
      <c r="X196">
        <v>136</v>
      </c>
      <c r="Y196">
        <v>122.9</v>
      </c>
      <c r="Z196">
        <v>131.80000000000001</v>
      </c>
      <c r="AA196">
        <v>142.1</v>
      </c>
      <c r="AB196">
        <v>129.9</v>
      </c>
      <c r="AC196">
        <v>132.1</v>
      </c>
      <c r="AD196">
        <v>137.80000000000001</v>
      </c>
    </row>
    <row r="197" spans="1:30" x14ac:dyDescent="0.3">
      <c r="A197" t="s">
        <v>30</v>
      </c>
      <c r="B197">
        <v>2018</v>
      </c>
      <c r="C197" t="s">
        <v>39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>
        <v>157.30000000000001</v>
      </c>
      <c r="R197">
        <v>151.30000000000001</v>
      </c>
      <c r="S197">
        <v>144.69999999999999</v>
      </c>
      <c r="T197">
        <v>150.30000000000001</v>
      </c>
      <c r="U197" t="s">
        <v>32</v>
      </c>
      <c r="V197">
        <v>145.1</v>
      </c>
      <c r="W197">
        <v>142.19999999999999</v>
      </c>
      <c r="X197">
        <v>138.4</v>
      </c>
      <c r="Y197">
        <v>127.4</v>
      </c>
      <c r="Z197">
        <v>137.80000000000001</v>
      </c>
      <c r="AA197">
        <v>145.1</v>
      </c>
      <c r="AB197">
        <v>131.4</v>
      </c>
      <c r="AC197">
        <v>135.6</v>
      </c>
      <c r="AD197">
        <v>140.5</v>
      </c>
    </row>
    <row r="198" spans="1:30" x14ac:dyDescent="0.3">
      <c r="A198" t="s">
        <v>33</v>
      </c>
      <c r="B198">
        <v>2018</v>
      </c>
      <c r="C198" t="s">
        <v>39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>
        <v>161</v>
      </c>
      <c r="R198">
        <v>138.9</v>
      </c>
      <c r="S198">
        <v>128.69999999999999</v>
      </c>
      <c r="T198">
        <v>137.4</v>
      </c>
      <c r="U198">
        <v>142.5</v>
      </c>
      <c r="V198">
        <v>126.5</v>
      </c>
      <c r="W198">
        <v>133.1</v>
      </c>
      <c r="X198">
        <v>132.6</v>
      </c>
      <c r="Y198">
        <v>120.4</v>
      </c>
      <c r="Z198">
        <v>128.5</v>
      </c>
      <c r="AA198">
        <v>141.19999999999999</v>
      </c>
      <c r="AB198">
        <v>128.19999999999999</v>
      </c>
      <c r="AC198">
        <v>129.5</v>
      </c>
      <c r="AD198">
        <v>136.19999999999999</v>
      </c>
    </row>
    <row r="199" spans="1:30" x14ac:dyDescent="0.3">
      <c r="A199" t="s">
        <v>34</v>
      </c>
      <c r="B199">
        <v>2018</v>
      </c>
      <c r="C199" t="s">
        <v>39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>
        <v>158.30000000000001</v>
      </c>
      <c r="R199">
        <v>146.4</v>
      </c>
      <c r="S199">
        <v>138.1</v>
      </c>
      <c r="T199">
        <v>145.19999999999999</v>
      </c>
      <c r="U199">
        <v>142.5</v>
      </c>
      <c r="V199">
        <v>138.1</v>
      </c>
      <c r="W199">
        <v>137.9</v>
      </c>
      <c r="X199">
        <v>136.19999999999999</v>
      </c>
      <c r="Y199">
        <v>123.7</v>
      </c>
      <c r="Z199">
        <v>132.6</v>
      </c>
      <c r="AA199">
        <v>142.80000000000001</v>
      </c>
      <c r="AB199">
        <v>130.1</v>
      </c>
      <c r="AC199">
        <v>132.6</v>
      </c>
      <c r="AD199">
        <v>138.5</v>
      </c>
    </row>
    <row r="200" spans="1:30" x14ac:dyDescent="0.3">
      <c r="A200" t="s">
        <v>30</v>
      </c>
      <c r="B200">
        <v>2018</v>
      </c>
      <c r="C200" t="s">
        <v>40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>
        <v>156.1</v>
      </c>
      <c r="R200">
        <v>151.5</v>
      </c>
      <c r="S200">
        <v>145.1</v>
      </c>
      <c r="T200">
        <v>150.6</v>
      </c>
      <c r="U200" t="s">
        <v>32</v>
      </c>
      <c r="V200">
        <v>146.80000000000001</v>
      </c>
      <c r="W200">
        <v>143.1</v>
      </c>
      <c r="X200">
        <v>139</v>
      </c>
      <c r="Y200">
        <v>127.5</v>
      </c>
      <c r="Z200">
        <v>138.4</v>
      </c>
      <c r="AA200">
        <v>145.80000000000001</v>
      </c>
      <c r="AB200">
        <v>131.4</v>
      </c>
      <c r="AC200">
        <v>136</v>
      </c>
      <c r="AD200">
        <v>141.80000000000001</v>
      </c>
    </row>
    <row r="201" spans="1:30" x14ac:dyDescent="0.3">
      <c r="A201" t="s">
        <v>33</v>
      </c>
      <c r="B201">
        <v>2018</v>
      </c>
      <c r="C201" t="s">
        <v>40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>
        <v>161.4</v>
      </c>
      <c r="R201">
        <v>139.6</v>
      </c>
      <c r="S201">
        <v>128.9</v>
      </c>
      <c r="T201">
        <v>137.9</v>
      </c>
      <c r="U201">
        <v>143.6</v>
      </c>
      <c r="V201">
        <v>128.1</v>
      </c>
      <c r="W201">
        <v>133.6</v>
      </c>
      <c r="X201">
        <v>133.6</v>
      </c>
      <c r="Y201">
        <v>120.1</v>
      </c>
      <c r="Z201">
        <v>129</v>
      </c>
      <c r="AA201">
        <v>144</v>
      </c>
      <c r="AB201">
        <v>128.19999999999999</v>
      </c>
      <c r="AC201">
        <v>130.19999999999999</v>
      </c>
      <c r="AD201">
        <v>137.5</v>
      </c>
    </row>
    <row r="202" spans="1:30" x14ac:dyDescent="0.3">
      <c r="A202" t="s">
        <v>34</v>
      </c>
      <c r="B202">
        <v>2018</v>
      </c>
      <c r="C202" t="s">
        <v>40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>
        <v>157.5</v>
      </c>
      <c r="R202">
        <v>146.80000000000001</v>
      </c>
      <c r="S202">
        <v>138.4</v>
      </c>
      <c r="T202">
        <v>145.6</v>
      </c>
      <c r="U202">
        <v>143.6</v>
      </c>
      <c r="V202">
        <v>139.69999999999999</v>
      </c>
      <c r="W202">
        <v>138.6</v>
      </c>
      <c r="X202">
        <v>137</v>
      </c>
      <c r="Y202">
        <v>123.6</v>
      </c>
      <c r="Z202">
        <v>133.1</v>
      </c>
      <c r="AA202">
        <v>144.69999999999999</v>
      </c>
      <c r="AB202">
        <v>130.1</v>
      </c>
      <c r="AC202">
        <v>133.19999999999999</v>
      </c>
      <c r="AD202">
        <v>139.80000000000001</v>
      </c>
    </row>
    <row r="203" spans="1:30" x14ac:dyDescent="0.3">
      <c r="A203" t="s">
        <v>30</v>
      </c>
      <c r="B203">
        <v>2018</v>
      </c>
      <c r="C203" t="s">
        <v>41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>
        <v>156.4</v>
      </c>
      <c r="R203">
        <v>152.1</v>
      </c>
      <c r="S203">
        <v>145.80000000000001</v>
      </c>
      <c r="T203">
        <v>151.30000000000001</v>
      </c>
      <c r="U203" t="s">
        <v>32</v>
      </c>
      <c r="V203">
        <v>147.69999999999999</v>
      </c>
      <c r="W203">
        <v>143.80000000000001</v>
      </c>
      <c r="X203">
        <v>139.4</v>
      </c>
      <c r="Y203">
        <v>128.30000000000001</v>
      </c>
      <c r="Z203">
        <v>138.6</v>
      </c>
      <c r="AA203">
        <v>146.9</v>
      </c>
      <c r="AB203">
        <v>131.30000000000001</v>
      </c>
      <c r="AC203">
        <v>136.6</v>
      </c>
      <c r="AD203">
        <v>142.5</v>
      </c>
    </row>
    <row r="204" spans="1:30" x14ac:dyDescent="0.3">
      <c r="A204" t="s">
        <v>33</v>
      </c>
      <c r="B204">
        <v>2018</v>
      </c>
      <c r="C204" t="s">
        <v>41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>
        <v>162.1</v>
      </c>
      <c r="R204">
        <v>140</v>
      </c>
      <c r="S204">
        <v>129</v>
      </c>
      <c r="T204">
        <v>138.30000000000001</v>
      </c>
      <c r="U204">
        <v>144.6</v>
      </c>
      <c r="V204">
        <v>129.80000000000001</v>
      </c>
      <c r="W204">
        <v>134.4</v>
      </c>
      <c r="X204">
        <v>134.9</v>
      </c>
      <c r="Y204">
        <v>120.7</v>
      </c>
      <c r="Z204">
        <v>129.80000000000001</v>
      </c>
      <c r="AA204">
        <v>145.30000000000001</v>
      </c>
      <c r="AB204">
        <v>128.30000000000001</v>
      </c>
      <c r="AC204">
        <v>131</v>
      </c>
      <c r="AD204">
        <v>138</v>
      </c>
    </row>
    <row r="205" spans="1:30" x14ac:dyDescent="0.3">
      <c r="A205" t="s">
        <v>34</v>
      </c>
      <c r="B205">
        <v>2018</v>
      </c>
      <c r="C205" t="s">
        <v>41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>
        <v>157.9</v>
      </c>
      <c r="R205">
        <v>147.30000000000001</v>
      </c>
      <c r="S205">
        <v>138.80000000000001</v>
      </c>
      <c r="T205">
        <v>146.1</v>
      </c>
      <c r="U205">
        <v>144.6</v>
      </c>
      <c r="V205">
        <v>140.9</v>
      </c>
      <c r="W205">
        <v>139.4</v>
      </c>
      <c r="X205">
        <v>137.69999999999999</v>
      </c>
      <c r="Y205">
        <v>124.3</v>
      </c>
      <c r="Z205">
        <v>133.6</v>
      </c>
      <c r="AA205">
        <v>146</v>
      </c>
      <c r="AB205">
        <v>130.1</v>
      </c>
      <c r="AC205">
        <v>133.9</v>
      </c>
      <c r="AD205">
        <v>140.4</v>
      </c>
    </row>
    <row r="206" spans="1:30" x14ac:dyDescent="0.3">
      <c r="A206" t="s">
        <v>30</v>
      </c>
      <c r="B206">
        <v>2018</v>
      </c>
      <c r="C206" t="s">
        <v>42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>
        <v>157.69999999999999</v>
      </c>
      <c r="R206">
        <v>152.1</v>
      </c>
      <c r="S206">
        <v>146.1</v>
      </c>
      <c r="T206">
        <v>151.30000000000001</v>
      </c>
      <c r="U206" t="s">
        <v>32</v>
      </c>
      <c r="V206">
        <v>149</v>
      </c>
      <c r="W206">
        <v>144</v>
      </c>
      <c r="X206">
        <v>140</v>
      </c>
      <c r="Y206">
        <v>129.9</v>
      </c>
      <c r="Z206">
        <v>140</v>
      </c>
      <c r="AA206">
        <v>147.6</v>
      </c>
      <c r="AB206">
        <v>132</v>
      </c>
      <c r="AC206">
        <v>137.4</v>
      </c>
      <c r="AD206">
        <v>142.1</v>
      </c>
    </row>
    <row r="207" spans="1:30" x14ac:dyDescent="0.3">
      <c r="A207" t="s">
        <v>33</v>
      </c>
      <c r="B207">
        <v>2018</v>
      </c>
      <c r="C207" t="s">
        <v>42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>
        <v>163.30000000000001</v>
      </c>
      <c r="R207">
        <v>140.80000000000001</v>
      </c>
      <c r="S207">
        <v>129.30000000000001</v>
      </c>
      <c r="T207">
        <v>139.1</v>
      </c>
      <c r="U207">
        <v>145.30000000000001</v>
      </c>
      <c r="V207">
        <v>131.19999999999999</v>
      </c>
      <c r="W207">
        <v>134.9</v>
      </c>
      <c r="X207">
        <v>135.69999999999999</v>
      </c>
      <c r="Y207">
        <v>122.5</v>
      </c>
      <c r="Z207">
        <v>130.19999999999999</v>
      </c>
      <c r="AA207">
        <v>145.19999999999999</v>
      </c>
      <c r="AB207">
        <v>129.30000000000001</v>
      </c>
      <c r="AC207">
        <v>131.9</v>
      </c>
      <c r="AD207">
        <v>138.1</v>
      </c>
    </row>
    <row r="208" spans="1:30" x14ac:dyDescent="0.3">
      <c r="A208" t="s">
        <v>34</v>
      </c>
      <c r="B208">
        <v>2018</v>
      </c>
      <c r="C208" t="s">
        <v>42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>
        <v>159.19999999999999</v>
      </c>
      <c r="R208">
        <v>147.69999999999999</v>
      </c>
      <c r="S208">
        <v>139.1</v>
      </c>
      <c r="T208">
        <v>146.5</v>
      </c>
      <c r="U208">
        <v>145.30000000000001</v>
      </c>
      <c r="V208">
        <v>142.30000000000001</v>
      </c>
      <c r="W208">
        <v>139.69999999999999</v>
      </c>
      <c r="X208">
        <v>138.4</v>
      </c>
      <c r="Y208">
        <v>126</v>
      </c>
      <c r="Z208">
        <v>134.5</v>
      </c>
      <c r="AA208">
        <v>146.19999999999999</v>
      </c>
      <c r="AB208">
        <v>130.9</v>
      </c>
      <c r="AC208">
        <v>134.69999999999999</v>
      </c>
      <c r="AD208">
        <v>140.19999999999999</v>
      </c>
    </row>
    <row r="209" spans="1:30" x14ac:dyDescent="0.3">
      <c r="A209" t="s">
        <v>30</v>
      </c>
      <c r="B209">
        <v>2018</v>
      </c>
      <c r="C209" t="s">
        <v>43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>
        <v>159.6</v>
      </c>
      <c r="R209">
        <v>150.69999999999999</v>
      </c>
      <c r="S209">
        <v>144.5</v>
      </c>
      <c r="T209">
        <v>149.80000000000001</v>
      </c>
      <c r="U209" t="s">
        <v>32</v>
      </c>
      <c r="V209">
        <v>149.69999999999999</v>
      </c>
      <c r="W209">
        <v>147.5</v>
      </c>
      <c r="X209">
        <v>144.80000000000001</v>
      </c>
      <c r="Y209">
        <v>130.80000000000001</v>
      </c>
      <c r="Z209">
        <v>140.1</v>
      </c>
      <c r="AA209">
        <v>148</v>
      </c>
      <c r="AB209">
        <v>134.4</v>
      </c>
      <c r="AC209">
        <v>139.80000000000001</v>
      </c>
      <c r="AD209">
        <v>142.19999999999999</v>
      </c>
    </row>
    <row r="210" spans="1:30" x14ac:dyDescent="0.3">
      <c r="A210" t="s">
        <v>33</v>
      </c>
      <c r="B210">
        <v>2018</v>
      </c>
      <c r="C210" t="s">
        <v>43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>
        <v>164</v>
      </c>
      <c r="R210">
        <v>141.5</v>
      </c>
      <c r="S210">
        <v>129.80000000000001</v>
      </c>
      <c r="T210">
        <v>139.69999999999999</v>
      </c>
      <c r="U210">
        <v>146.30000000000001</v>
      </c>
      <c r="V210">
        <v>133.4</v>
      </c>
      <c r="W210">
        <v>135.1</v>
      </c>
      <c r="X210">
        <v>136.19999999999999</v>
      </c>
      <c r="Y210">
        <v>123.3</v>
      </c>
      <c r="Z210">
        <v>130.69999999999999</v>
      </c>
      <c r="AA210">
        <v>145.5</v>
      </c>
      <c r="AB210">
        <v>130.4</v>
      </c>
      <c r="AC210">
        <v>132.5</v>
      </c>
      <c r="AD210">
        <v>138.9</v>
      </c>
    </row>
    <row r="211" spans="1:30" x14ac:dyDescent="0.3">
      <c r="A211" t="s">
        <v>34</v>
      </c>
      <c r="B211">
        <v>2018</v>
      </c>
      <c r="C211" t="s">
        <v>43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>
        <v>162.6</v>
      </c>
      <c r="R211">
        <v>148</v>
      </c>
      <c r="S211">
        <v>139.19999999999999</v>
      </c>
      <c r="T211">
        <v>146.80000000000001</v>
      </c>
      <c r="U211">
        <v>146.9</v>
      </c>
      <c r="V211">
        <v>145.30000000000001</v>
      </c>
      <c r="W211">
        <v>142.19999999999999</v>
      </c>
      <c r="X211">
        <v>142.1</v>
      </c>
      <c r="Y211">
        <v>125.5</v>
      </c>
      <c r="Z211">
        <v>136.5</v>
      </c>
      <c r="AA211">
        <v>147.80000000000001</v>
      </c>
      <c r="AB211">
        <v>132</v>
      </c>
      <c r="AC211">
        <v>136.30000000000001</v>
      </c>
      <c r="AD211">
        <v>140.80000000000001</v>
      </c>
    </row>
    <row r="212" spans="1:30" x14ac:dyDescent="0.3">
      <c r="A212" t="s">
        <v>30</v>
      </c>
      <c r="B212">
        <v>2018</v>
      </c>
      <c r="C212" t="s">
        <v>45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>
        <v>161.9</v>
      </c>
      <c r="R212">
        <v>151.69999999999999</v>
      </c>
      <c r="S212">
        <v>145.5</v>
      </c>
      <c r="T212">
        <v>150.80000000000001</v>
      </c>
      <c r="U212" t="s">
        <v>32</v>
      </c>
      <c r="V212">
        <v>150.30000000000001</v>
      </c>
      <c r="W212">
        <v>148</v>
      </c>
      <c r="X212">
        <v>145.4</v>
      </c>
      <c r="Y212">
        <v>130.30000000000001</v>
      </c>
      <c r="Z212">
        <v>143.1</v>
      </c>
      <c r="AA212">
        <v>150.19999999999999</v>
      </c>
      <c r="AB212">
        <v>133.1</v>
      </c>
      <c r="AC212">
        <v>140.1</v>
      </c>
      <c r="AD212">
        <v>142.4</v>
      </c>
    </row>
    <row r="213" spans="1:30" x14ac:dyDescent="0.3">
      <c r="A213" t="s">
        <v>33</v>
      </c>
      <c r="B213">
        <v>2018</v>
      </c>
      <c r="C213" t="s">
        <v>45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>
        <v>164.4</v>
      </c>
      <c r="R213">
        <v>142.4</v>
      </c>
      <c r="S213">
        <v>130.19999999999999</v>
      </c>
      <c r="T213">
        <v>140.5</v>
      </c>
      <c r="U213">
        <v>146.9</v>
      </c>
      <c r="V213">
        <v>136.69999999999999</v>
      </c>
      <c r="W213">
        <v>135.80000000000001</v>
      </c>
      <c r="X213">
        <v>136.80000000000001</v>
      </c>
      <c r="Y213">
        <v>121.2</v>
      </c>
      <c r="Z213">
        <v>131.30000000000001</v>
      </c>
      <c r="AA213">
        <v>146.1</v>
      </c>
      <c r="AB213">
        <v>130.5</v>
      </c>
      <c r="AC213">
        <v>132.19999999999999</v>
      </c>
      <c r="AD213">
        <v>139</v>
      </c>
    </row>
    <row r="214" spans="1:30" x14ac:dyDescent="0.3">
      <c r="A214" t="s">
        <v>34</v>
      </c>
      <c r="B214">
        <v>2018</v>
      </c>
      <c r="C214" t="s">
        <v>45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>
        <v>162.6</v>
      </c>
      <c r="R214">
        <v>148</v>
      </c>
      <c r="S214">
        <v>139.1</v>
      </c>
      <c r="T214">
        <v>146.69999999999999</v>
      </c>
      <c r="U214">
        <v>146.9</v>
      </c>
      <c r="V214">
        <v>145.1</v>
      </c>
      <c r="W214">
        <v>142.19999999999999</v>
      </c>
      <c r="X214">
        <v>142.1</v>
      </c>
      <c r="Y214">
        <v>125.5</v>
      </c>
      <c r="Z214">
        <v>136.5</v>
      </c>
      <c r="AA214">
        <v>147.80000000000001</v>
      </c>
      <c r="AB214">
        <v>132</v>
      </c>
      <c r="AC214">
        <v>136.30000000000001</v>
      </c>
      <c r="AD214">
        <v>140.80000000000001</v>
      </c>
    </row>
    <row r="215" spans="1:30" x14ac:dyDescent="0.3">
      <c r="A215" t="s">
        <v>30</v>
      </c>
      <c r="B215">
        <v>2018</v>
      </c>
      <c r="C215" t="s">
        <v>46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>
        <v>162.4</v>
      </c>
      <c r="R215">
        <v>151.6</v>
      </c>
      <c r="S215">
        <v>145.9</v>
      </c>
      <c r="T215">
        <v>150.80000000000001</v>
      </c>
      <c r="U215" t="s">
        <v>32</v>
      </c>
      <c r="V215">
        <v>149</v>
      </c>
      <c r="W215">
        <v>149.5</v>
      </c>
      <c r="X215">
        <v>149.6</v>
      </c>
      <c r="Y215">
        <v>128.9</v>
      </c>
      <c r="Z215">
        <v>143.30000000000001</v>
      </c>
      <c r="AA215">
        <v>155.1</v>
      </c>
      <c r="AB215">
        <v>133.19999999999999</v>
      </c>
      <c r="AC215">
        <v>141.6</v>
      </c>
      <c r="AD215">
        <v>141.9</v>
      </c>
    </row>
    <row r="216" spans="1:30" x14ac:dyDescent="0.3">
      <c r="A216" t="s">
        <v>33</v>
      </c>
      <c r="B216">
        <v>2018</v>
      </c>
      <c r="C216" t="s">
        <v>46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>
        <v>164.6</v>
      </c>
      <c r="R216">
        <v>142.69999999999999</v>
      </c>
      <c r="S216">
        <v>130.30000000000001</v>
      </c>
      <c r="T216">
        <v>140.80000000000001</v>
      </c>
      <c r="U216">
        <v>146.5</v>
      </c>
      <c r="V216">
        <v>132.4</v>
      </c>
      <c r="W216">
        <v>136.19999999999999</v>
      </c>
      <c r="X216">
        <v>137.30000000000001</v>
      </c>
      <c r="Y216">
        <v>118.8</v>
      </c>
      <c r="Z216">
        <v>131.69999999999999</v>
      </c>
      <c r="AA216">
        <v>146.5</v>
      </c>
      <c r="AB216">
        <v>130.80000000000001</v>
      </c>
      <c r="AC216">
        <v>131.69999999999999</v>
      </c>
      <c r="AD216">
        <v>138</v>
      </c>
    </row>
    <row r="217" spans="1:30" x14ac:dyDescent="0.3">
      <c r="A217" t="s">
        <v>34</v>
      </c>
      <c r="B217">
        <v>2018</v>
      </c>
      <c r="C217" t="s">
        <v>46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>
        <v>163</v>
      </c>
      <c r="R217">
        <v>148.1</v>
      </c>
      <c r="S217">
        <v>139.4</v>
      </c>
      <c r="T217">
        <v>146.80000000000001</v>
      </c>
      <c r="U217">
        <v>146.5</v>
      </c>
      <c r="V217">
        <v>142.69999999999999</v>
      </c>
      <c r="W217">
        <v>143.19999999999999</v>
      </c>
      <c r="X217">
        <v>144.9</v>
      </c>
      <c r="Y217">
        <v>123.6</v>
      </c>
      <c r="Z217">
        <v>136.80000000000001</v>
      </c>
      <c r="AA217">
        <v>150.1</v>
      </c>
      <c r="AB217">
        <v>132.19999999999999</v>
      </c>
      <c r="AC217">
        <v>136.80000000000001</v>
      </c>
      <c r="AD217">
        <v>140.1</v>
      </c>
    </row>
    <row r="218" spans="1:30" x14ac:dyDescent="0.3">
      <c r="A218" t="s">
        <v>30</v>
      </c>
      <c r="B218">
        <v>2019</v>
      </c>
      <c r="C218" t="s">
        <v>31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>
        <v>162.69999999999999</v>
      </c>
      <c r="R218">
        <v>150.6</v>
      </c>
      <c r="S218">
        <v>145.1</v>
      </c>
      <c r="T218">
        <v>149.9</v>
      </c>
      <c r="U218" t="s">
        <v>32</v>
      </c>
      <c r="V218">
        <v>146.19999999999999</v>
      </c>
      <c r="W218">
        <v>150.1</v>
      </c>
      <c r="X218">
        <v>149.6</v>
      </c>
      <c r="Y218">
        <v>128.6</v>
      </c>
      <c r="Z218">
        <v>142.9</v>
      </c>
      <c r="AA218">
        <v>155.19999999999999</v>
      </c>
      <c r="AB218">
        <v>133.5</v>
      </c>
      <c r="AC218">
        <v>141.69999999999999</v>
      </c>
      <c r="AD218">
        <v>141</v>
      </c>
    </row>
    <row r="219" spans="1:30" x14ac:dyDescent="0.3">
      <c r="A219" t="s">
        <v>33</v>
      </c>
      <c r="B219">
        <v>2019</v>
      </c>
      <c r="C219" t="s">
        <v>31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>
        <v>164.7</v>
      </c>
      <c r="R219">
        <v>143</v>
      </c>
      <c r="S219">
        <v>130.4</v>
      </c>
      <c r="T219">
        <v>141.1</v>
      </c>
      <c r="U219">
        <v>147.69999999999999</v>
      </c>
      <c r="V219">
        <v>128.6</v>
      </c>
      <c r="W219">
        <v>136.30000000000001</v>
      </c>
      <c r="X219">
        <v>137.80000000000001</v>
      </c>
      <c r="Y219">
        <v>118.6</v>
      </c>
      <c r="Z219">
        <v>131.9</v>
      </c>
      <c r="AA219">
        <v>146.6</v>
      </c>
      <c r="AB219">
        <v>131.69999999999999</v>
      </c>
      <c r="AC219">
        <v>131.80000000000001</v>
      </c>
      <c r="AD219">
        <v>138</v>
      </c>
    </row>
    <row r="220" spans="1:30" x14ac:dyDescent="0.3">
      <c r="A220" t="s">
        <v>34</v>
      </c>
      <c r="B220">
        <v>2019</v>
      </c>
      <c r="C220" t="s">
        <v>31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>
        <v>163.19999999999999</v>
      </c>
      <c r="R220">
        <v>147.6</v>
      </c>
      <c r="S220">
        <v>139</v>
      </c>
      <c r="T220">
        <v>146.4</v>
      </c>
      <c r="U220">
        <v>147.69999999999999</v>
      </c>
      <c r="V220">
        <v>139.5</v>
      </c>
      <c r="W220">
        <v>143.6</v>
      </c>
      <c r="X220">
        <v>145.1</v>
      </c>
      <c r="Y220">
        <v>123.3</v>
      </c>
      <c r="Z220">
        <v>136.69999999999999</v>
      </c>
      <c r="AA220">
        <v>150.19999999999999</v>
      </c>
      <c r="AB220">
        <v>132.80000000000001</v>
      </c>
      <c r="AC220">
        <v>136.9</v>
      </c>
      <c r="AD220">
        <v>139.6</v>
      </c>
    </row>
    <row r="221" spans="1:30" x14ac:dyDescent="0.3">
      <c r="A221" t="s">
        <v>30</v>
      </c>
      <c r="B221">
        <v>2019</v>
      </c>
      <c r="C221" t="s">
        <v>35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>
        <v>162.80000000000001</v>
      </c>
      <c r="R221">
        <v>150.5</v>
      </c>
      <c r="S221">
        <v>146.1</v>
      </c>
      <c r="T221">
        <v>149.9</v>
      </c>
      <c r="U221" t="s">
        <v>32</v>
      </c>
      <c r="V221">
        <v>145.30000000000001</v>
      </c>
      <c r="W221">
        <v>150.1</v>
      </c>
      <c r="X221">
        <v>149.9</v>
      </c>
      <c r="Y221">
        <v>129.19999999999999</v>
      </c>
      <c r="Z221">
        <v>143.4</v>
      </c>
      <c r="AA221">
        <v>155.5</v>
      </c>
      <c r="AB221">
        <v>134.9</v>
      </c>
      <c r="AC221">
        <v>142.19999999999999</v>
      </c>
      <c r="AD221">
        <v>141</v>
      </c>
    </row>
    <row r="222" spans="1:30" x14ac:dyDescent="0.3">
      <c r="A222" t="s">
        <v>33</v>
      </c>
      <c r="B222">
        <v>2019</v>
      </c>
      <c r="C222" t="s">
        <v>35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>
        <v>164.9</v>
      </c>
      <c r="R222">
        <v>143.30000000000001</v>
      </c>
      <c r="S222">
        <v>130.80000000000001</v>
      </c>
      <c r="T222">
        <v>141.4</v>
      </c>
      <c r="U222">
        <v>148.5</v>
      </c>
      <c r="V222">
        <v>127.1</v>
      </c>
      <c r="W222">
        <v>136.6</v>
      </c>
      <c r="X222">
        <v>138.5</v>
      </c>
      <c r="Y222">
        <v>119.2</v>
      </c>
      <c r="Z222">
        <v>132.19999999999999</v>
      </c>
      <c r="AA222">
        <v>146.6</v>
      </c>
      <c r="AB222">
        <v>133</v>
      </c>
      <c r="AC222">
        <v>132.4</v>
      </c>
      <c r="AD222">
        <v>138.6</v>
      </c>
    </row>
    <row r="223" spans="1:30" x14ac:dyDescent="0.3">
      <c r="A223" t="s">
        <v>34</v>
      </c>
      <c r="B223">
        <v>2019</v>
      </c>
      <c r="C223" t="s">
        <v>35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>
        <v>163.4</v>
      </c>
      <c r="R223">
        <v>147.69999999999999</v>
      </c>
      <c r="S223">
        <v>139.69999999999999</v>
      </c>
      <c r="T223">
        <v>146.5</v>
      </c>
      <c r="U223">
        <v>148.5</v>
      </c>
      <c r="V223">
        <v>138.4</v>
      </c>
      <c r="W223">
        <v>143.69999999999999</v>
      </c>
      <c r="X223">
        <v>145.6</v>
      </c>
      <c r="Y223">
        <v>123.9</v>
      </c>
      <c r="Z223">
        <v>137.1</v>
      </c>
      <c r="AA223">
        <v>150.30000000000001</v>
      </c>
      <c r="AB223">
        <v>134.1</v>
      </c>
      <c r="AC223">
        <v>137.4</v>
      </c>
      <c r="AD223">
        <v>139.9</v>
      </c>
    </row>
    <row r="224" spans="1:30" x14ac:dyDescent="0.3">
      <c r="A224" t="s">
        <v>30</v>
      </c>
      <c r="B224">
        <v>2019</v>
      </c>
      <c r="C224" t="s">
        <v>36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>
        <v>162.9</v>
      </c>
      <c r="R224">
        <v>150.80000000000001</v>
      </c>
      <c r="S224">
        <v>146.1</v>
      </c>
      <c r="T224">
        <v>150.1</v>
      </c>
      <c r="U224" t="s">
        <v>32</v>
      </c>
      <c r="V224">
        <v>146.4</v>
      </c>
      <c r="W224">
        <v>150</v>
      </c>
      <c r="X224">
        <v>150.4</v>
      </c>
      <c r="Y224">
        <v>129.9</v>
      </c>
      <c r="Z224">
        <v>143.80000000000001</v>
      </c>
      <c r="AA224">
        <v>155.5</v>
      </c>
      <c r="AB224">
        <v>134</v>
      </c>
      <c r="AC224">
        <v>142.4</v>
      </c>
      <c r="AD224">
        <v>141.19999999999999</v>
      </c>
    </row>
    <row r="225" spans="1:30" x14ac:dyDescent="0.3">
      <c r="A225" t="s">
        <v>33</v>
      </c>
      <c r="B225">
        <v>2019</v>
      </c>
      <c r="C225" t="s">
        <v>36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>
        <v>165.3</v>
      </c>
      <c r="R225">
        <v>143.5</v>
      </c>
      <c r="S225">
        <v>131.19999999999999</v>
      </c>
      <c r="T225">
        <v>141.6</v>
      </c>
      <c r="U225">
        <v>149</v>
      </c>
      <c r="V225">
        <v>128.80000000000001</v>
      </c>
      <c r="W225">
        <v>136.80000000000001</v>
      </c>
      <c r="X225">
        <v>139.19999999999999</v>
      </c>
      <c r="Y225">
        <v>119.9</v>
      </c>
      <c r="Z225">
        <v>133</v>
      </c>
      <c r="AA225">
        <v>146.69999999999999</v>
      </c>
      <c r="AB225">
        <v>132.5</v>
      </c>
      <c r="AC225">
        <v>132.80000000000001</v>
      </c>
      <c r="AD225">
        <v>139.5</v>
      </c>
    </row>
    <row r="226" spans="1:30" x14ac:dyDescent="0.3">
      <c r="A226" t="s">
        <v>34</v>
      </c>
      <c r="B226">
        <v>2019</v>
      </c>
      <c r="C226" t="s">
        <v>36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>
        <v>163.5</v>
      </c>
      <c r="R226">
        <v>147.9</v>
      </c>
      <c r="S226">
        <v>139.9</v>
      </c>
      <c r="T226">
        <v>146.69999999999999</v>
      </c>
      <c r="U226">
        <v>149</v>
      </c>
      <c r="V226">
        <v>139.69999999999999</v>
      </c>
      <c r="W226">
        <v>143.80000000000001</v>
      </c>
      <c r="X226">
        <v>146.19999999999999</v>
      </c>
      <c r="Y226">
        <v>124.6</v>
      </c>
      <c r="Z226">
        <v>137.69999999999999</v>
      </c>
      <c r="AA226">
        <v>150.30000000000001</v>
      </c>
      <c r="AB226">
        <v>133.4</v>
      </c>
      <c r="AC226">
        <v>137.69999999999999</v>
      </c>
      <c r="AD226">
        <v>140.4</v>
      </c>
    </row>
    <row r="227" spans="1:30" x14ac:dyDescent="0.3">
      <c r="A227" t="s">
        <v>30</v>
      </c>
      <c r="B227">
        <v>2019</v>
      </c>
      <c r="C227" t="s">
        <v>38</v>
      </c>
      <c r="D227">
        <v>137.4</v>
      </c>
      <c r="E227">
        <v>159.5</v>
      </c>
      <c r="F227">
        <v>134.5</v>
      </c>
      <c r="G227">
        <v>142.6</v>
      </c>
      <c r="H227">
        <v>124</v>
      </c>
      <c r="I227">
        <v>143.69999999999999</v>
      </c>
      <c r="J227">
        <v>133.4</v>
      </c>
      <c r="K227">
        <v>125.1</v>
      </c>
      <c r="L227">
        <v>109.3</v>
      </c>
      <c r="M227">
        <v>139.30000000000001</v>
      </c>
      <c r="N227">
        <v>137.69999999999999</v>
      </c>
      <c r="O227">
        <v>156.4</v>
      </c>
      <c r="P227">
        <v>139.19999999999999</v>
      </c>
      <c r="Q227">
        <v>163.30000000000001</v>
      </c>
      <c r="R227">
        <v>151.30000000000001</v>
      </c>
      <c r="S227">
        <v>146.6</v>
      </c>
      <c r="T227">
        <v>150.69999999999999</v>
      </c>
      <c r="U227" t="s">
        <v>32</v>
      </c>
      <c r="V227">
        <v>146.9</v>
      </c>
      <c r="W227">
        <v>149.5</v>
      </c>
      <c r="X227">
        <v>151.30000000000001</v>
      </c>
      <c r="Y227">
        <v>130.19999999999999</v>
      </c>
      <c r="Z227">
        <v>145.9</v>
      </c>
      <c r="AA227">
        <v>156.69999999999999</v>
      </c>
      <c r="AB227">
        <v>133.9</v>
      </c>
      <c r="AC227">
        <v>142.9</v>
      </c>
      <c r="AD227">
        <v>142.4</v>
      </c>
    </row>
    <row r="228" spans="1:30" x14ac:dyDescent="0.3">
      <c r="A228" t="s">
        <v>33</v>
      </c>
      <c r="B228">
        <v>2019</v>
      </c>
      <c r="C228" t="s">
        <v>38</v>
      </c>
      <c r="D228">
        <v>140.4</v>
      </c>
      <c r="E228">
        <v>156.69999999999999</v>
      </c>
      <c r="F228">
        <v>138.30000000000001</v>
      </c>
      <c r="G228">
        <v>142.4</v>
      </c>
      <c r="H228">
        <v>118.6</v>
      </c>
      <c r="I228">
        <v>149.69999999999999</v>
      </c>
      <c r="J228">
        <v>161.6</v>
      </c>
      <c r="K228">
        <v>124.4</v>
      </c>
      <c r="L228">
        <v>111.2</v>
      </c>
      <c r="M228">
        <v>141</v>
      </c>
      <c r="N228">
        <v>128.9</v>
      </c>
      <c r="O228">
        <v>154.5</v>
      </c>
      <c r="P228">
        <v>143.80000000000001</v>
      </c>
      <c r="Q228">
        <v>166.2</v>
      </c>
      <c r="R228">
        <v>144</v>
      </c>
      <c r="S228">
        <v>131.69999999999999</v>
      </c>
      <c r="T228">
        <v>142.19999999999999</v>
      </c>
      <c r="U228">
        <v>150.1</v>
      </c>
      <c r="V228">
        <v>129.4</v>
      </c>
      <c r="W228">
        <v>137.19999999999999</v>
      </c>
      <c r="X228">
        <v>139.80000000000001</v>
      </c>
      <c r="Y228">
        <v>120.1</v>
      </c>
      <c r="Z228">
        <v>134</v>
      </c>
      <c r="AA228">
        <v>148</v>
      </c>
      <c r="AB228">
        <v>132.6</v>
      </c>
      <c r="AC228">
        <v>133.30000000000001</v>
      </c>
      <c r="AD228">
        <v>141.5</v>
      </c>
    </row>
    <row r="229" spans="1:30" x14ac:dyDescent="0.3">
      <c r="A229" t="s">
        <v>34</v>
      </c>
      <c r="B229">
        <v>2019</v>
      </c>
      <c r="C229" t="s">
        <v>38</v>
      </c>
      <c r="D229">
        <v>138.30000000000001</v>
      </c>
      <c r="E229">
        <v>158.5</v>
      </c>
      <c r="F229">
        <v>136</v>
      </c>
      <c r="G229">
        <v>142.5</v>
      </c>
      <c r="H229">
        <v>122</v>
      </c>
      <c r="I229">
        <v>146.5</v>
      </c>
      <c r="J229">
        <v>143</v>
      </c>
      <c r="K229">
        <v>124.9</v>
      </c>
      <c r="L229">
        <v>109.9</v>
      </c>
      <c r="M229">
        <v>139.9</v>
      </c>
      <c r="N229">
        <v>134</v>
      </c>
      <c r="O229">
        <v>155.5</v>
      </c>
      <c r="P229">
        <v>140.9</v>
      </c>
      <c r="Q229">
        <v>164.1</v>
      </c>
      <c r="R229">
        <v>148.4</v>
      </c>
      <c r="S229">
        <v>140.4</v>
      </c>
      <c r="T229">
        <v>147.30000000000001</v>
      </c>
      <c r="U229">
        <v>150.1</v>
      </c>
      <c r="V229">
        <v>140.30000000000001</v>
      </c>
      <c r="W229">
        <v>143.69999999999999</v>
      </c>
      <c r="X229">
        <v>146.9</v>
      </c>
      <c r="Y229">
        <v>124.9</v>
      </c>
      <c r="Z229">
        <v>139.19999999999999</v>
      </c>
      <c r="AA229">
        <v>151.6</v>
      </c>
      <c r="AB229">
        <v>133.4</v>
      </c>
      <c r="AC229">
        <v>138.19999999999999</v>
      </c>
      <c r="AD229">
        <v>142</v>
      </c>
    </row>
    <row r="230" spans="1:30" x14ac:dyDescent="0.3">
      <c r="A230" t="s">
        <v>30</v>
      </c>
      <c r="B230">
        <v>2019</v>
      </c>
      <c r="C230" t="s">
        <v>39</v>
      </c>
      <c r="D230">
        <v>137.80000000000001</v>
      </c>
      <c r="E230">
        <v>163.5</v>
      </c>
      <c r="F230">
        <v>136.19999999999999</v>
      </c>
      <c r="G230">
        <v>143.19999999999999</v>
      </c>
      <c r="H230">
        <v>124.3</v>
      </c>
      <c r="I230">
        <v>143.30000000000001</v>
      </c>
      <c r="J230">
        <v>140.6</v>
      </c>
      <c r="K230">
        <v>128.69999999999999</v>
      </c>
      <c r="L230">
        <v>110.6</v>
      </c>
      <c r="M230">
        <v>140.4</v>
      </c>
      <c r="N230">
        <v>138</v>
      </c>
      <c r="O230">
        <v>156.6</v>
      </c>
      <c r="P230">
        <v>141</v>
      </c>
      <c r="Q230">
        <v>164.2</v>
      </c>
      <c r="R230">
        <v>151.4</v>
      </c>
      <c r="S230">
        <v>146.5</v>
      </c>
      <c r="T230">
        <v>150.69999999999999</v>
      </c>
      <c r="U230" t="s">
        <v>32</v>
      </c>
      <c r="V230">
        <v>147.80000000000001</v>
      </c>
      <c r="W230">
        <v>149.6</v>
      </c>
      <c r="X230">
        <v>151.69999999999999</v>
      </c>
      <c r="Y230">
        <v>130.19999999999999</v>
      </c>
      <c r="Z230">
        <v>146.4</v>
      </c>
      <c r="AA230">
        <v>157.69999999999999</v>
      </c>
      <c r="AB230">
        <v>134.80000000000001</v>
      </c>
      <c r="AC230">
        <v>143.30000000000001</v>
      </c>
      <c r="AD230">
        <v>143.6</v>
      </c>
    </row>
    <row r="231" spans="1:30" x14ac:dyDescent="0.3">
      <c r="A231" t="s">
        <v>33</v>
      </c>
      <c r="B231">
        <v>2019</v>
      </c>
      <c r="C231" t="s">
        <v>39</v>
      </c>
      <c r="D231">
        <v>140.69999999999999</v>
      </c>
      <c r="E231">
        <v>159.6</v>
      </c>
      <c r="F231">
        <v>140.4</v>
      </c>
      <c r="G231">
        <v>143.4</v>
      </c>
      <c r="H231">
        <v>118.6</v>
      </c>
      <c r="I231">
        <v>150.9</v>
      </c>
      <c r="J231">
        <v>169.8</v>
      </c>
      <c r="K231">
        <v>127.4</v>
      </c>
      <c r="L231">
        <v>111.8</v>
      </c>
      <c r="M231">
        <v>141</v>
      </c>
      <c r="N231">
        <v>129</v>
      </c>
      <c r="O231">
        <v>155.1</v>
      </c>
      <c r="P231">
        <v>145.6</v>
      </c>
      <c r="Q231">
        <v>166.7</v>
      </c>
      <c r="R231">
        <v>144.30000000000001</v>
      </c>
      <c r="S231">
        <v>131.69999999999999</v>
      </c>
      <c r="T231">
        <v>142.4</v>
      </c>
      <c r="U231">
        <v>149.4</v>
      </c>
      <c r="V231">
        <v>130.5</v>
      </c>
      <c r="W231">
        <v>137.4</v>
      </c>
      <c r="X231">
        <v>140.30000000000001</v>
      </c>
      <c r="Y231">
        <v>119.6</v>
      </c>
      <c r="Z231">
        <v>134.30000000000001</v>
      </c>
      <c r="AA231">
        <v>148.9</v>
      </c>
      <c r="AB231">
        <v>133.69999999999999</v>
      </c>
      <c r="AC231">
        <v>133.6</v>
      </c>
      <c r="AD231">
        <v>142.1</v>
      </c>
    </row>
    <row r="232" spans="1:30" x14ac:dyDescent="0.3">
      <c r="A232" t="s">
        <v>34</v>
      </c>
      <c r="B232">
        <v>2019</v>
      </c>
      <c r="C232" t="s">
        <v>39</v>
      </c>
      <c r="D232">
        <v>138.69999999999999</v>
      </c>
      <c r="E232">
        <v>162.1</v>
      </c>
      <c r="F232">
        <v>137.80000000000001</v>
      </c>
      <c r="G232">
        <v>143.30000000000001</v>
      </c>
      <c r="H232">
        <v>122.2</v>
      </c>
      <c r="I232">
        <v>146.80000000000001</v>
      </c>
      <c r="J232">
        <v>150.5</v>
      </c>
      <c r="K232">
        <v>128.30000000000001</v>
      </c>
      <c r="L232">
        <v>111</v>
      </c>
      <c r="M232">
        <v>140.6</v>
      </c>
      <c r="N232">
        <v>134.19999999999999</v>
      </c>
      <c r="O232">
        <v>155.9</v>
      </c>
      <c r="P232">
        <v>142.69999999999999</v>
      </c>
      <c r="Q232">
        <v>164.9</v>
      </c>
      <c r="R232">
        <v>148.6</v>
      </c>
      <c r="S232">
        <v>140.4</v>
      </c>
      <c r="T232">
        <v>147.4</v>
      </c>
      <c r="U232">
        <v>149.4</v>
      </c>
      <c r="V232">
        <v>141.19999999999999</v>
      </c>
      <c r="W232">
        <v>143.80000000000001</v>
      </c>
      <c r="X232">
        <v>147.4</v>
      </c>
      <c r="Y232">
        <v>124.6</v>
      </c>
      <c r="Z232">
        <v>139.6</v>
      </c>
      <c r="AA232">
        <v>152.5</v>
      </c>
      <c r="AB232">
        <v>134.30000000000001</v>
      </c>
      <c r="AC232">
        <v>138.6</v>
      </c>
      <c r="AD232">
        <v>142.9</v>
      </c>
    </row>
    <row r="233" spans="1:30" x14ac:dyDescent="0.3">
      <c r="A233" t="s">
        <v>30</v>
      </c>
      <c r="B233">
        <v>2019</v>
      </c>
      <c r="C233" t="s">
        <v>40</v>
      </c>
      <c r="D233">
        <v>138.4</v>
      </c>
      <c r="E233">
        <v>164</v>
      </c>
      <c r="F233">
        <v>138.4</v>
      </c>
      <c r="G233">
        <v>143.9</v>
      </c>
      <c r="H233">
        <v>124.4</v>
      </c>
      <c r="I233">
        <v>146.4</v>
      </c>
      <c r="J233">
        <v>150.1</v>
      </c>
      <c r="K233">
        <v>130.6</v>
      </c>
      <c r="L233">
        <v>110.8</v>
      </c>
      <c r="M233">
        <v>141.69999999999999</v>
      </c>
      <c r="N233">
        <v>138.5</v>
      </c>
      <c r="O233">
        <v>156.69999999999999</v>
      </c>
      <c r="P233">
        <v>143</v>
      </c>
      <c r="Q233">
        <v>164.5</v>
      </c>
      <c r="R233">
        <v>151.6</v>
      </c>
      <c r="S233">
        <v>146.6</v>
      </c>
      <c r="T233">
        <v>150.9</v>
      </c>
      <c r="U233" t="s">
        <v>32</v>
      </c>
      <c r="V233">
        <v>146.80000000000001</v>
      </c>
      <c r="W233">
        <v>150</v>
      </c>
      <c r="X233">
        <v>152.19999999999999</v>
      </c>
      <c r="Y233">
        <v>131.19999999999999</v>
      </c>
      <c r="Z233">
        <v>147.5</v>
      </c>
      <c r="AA233">
        <v>159.1</v>
      </c>
      <c r="AB233">
        <v>136.1</v>
      </c>
      <c r="AC233">
        <v>144.19999999999999</v>
      </c>
      <c r="AD233">
        <v>144.9</v>
      </c>
    </row>
    <row r="234" spans="1:30" x14ac:dyDescent="0.3">
      <c r="A234" t="s">
        <v>33</v>
      </c>
      <c r="B234">
        <v>2019</v>
      </c>
      <c r="C234" t="s">
        <v>40</v>
      </c>
      <c r="D234">
        <v>141.4</v>
      </c>
      <c r="E234">
        <v>160.19999999999999</v>
      </c>
      <c r="F234">
        <v>142.5</v>
      </c>
      <c r="G234">
        <v>144.1</v>
      </c>
      <c r="H234">
        <v>119.3</v>
      </c>
      <c r="I234">
        <v>154.69999999999999</v>
      </c>
      <c r="J234">
        <v>180.1</v>
      </c>
      <c r="K234">
        <v>128.9</v>
      </c>
      <c r="L234">
        <v>111.8</v>
      </c>
      <c r="M234">
        <v>141.6</v>
      </c>
      <c r="N234">
        <v>129.5</v>
      </c>
      <c r="O234">
        <v>155.6</v>
      </c>
      <c r="P234">
        <v>147.69999999999999</v>
      </c>
      <c r="Q234">
        <v>167.2</v>
      </c>
      <c r="R234">
        <v>144.69999999999999</v>
      </c>
      <c r="S234">
        <v>131.9</v>
      </c>
      <c r="T234">
        <v>142.69999999999999</v>
      </c>
      <c r="U234">
        <v>150.6</v>
      </c>
      <c r="V234">
        <v>127</v>
      </c>
      <c r="W234">
        <v>137.69999999999999</v>
      </c>
      <c r="X234">
        <v>140.80000000000001</v>
      </c>
      <c r="Y234">
        <v>120.6</v>
      </c>
      <c r="Z234">
        <v>135</v>
      </c>
      <c r="AA234">
        <v>150.4</v>
      </c>
      <c r="AB234">
        <v>135.1</v>
      </c>
      <c r="AC234">
        <v>134.5</v>
      </c>
      <c r="AD234">
        <v>143.30000000000001</v>
      </c>
    </row>
    <row r="235" spans="1:30" x14ac:dyDescent="0.3">
      <c r="A235" t="s">
        <v>34</v>
      </c>
      <c r="B235">
        <v>2019</v>
      </c>
      <c r="C235" t="s">
        <v>40</v>
      </c>
      <c r="D235">
        <v>139.30000000000001</v>
      </c>
      <c r="E235">
        <v>162.69999999999999</v>
      </c>
      <c r="F235">
        <v>140</v>
      </c>
      <c r="G235">
        <v>144</v>
      </c>
      <c r="H235">
        <v>122.5</v>
      </c>
      <c r="I235">
        <v>150.30000000000001</v>
      </c>
      <c r="J235">
        <v>160.30000000000001</v>
      </c>
      <c r="K235">
        <v>130</v>
      </c>
      <c r="L235">
        <v>111.1</v>
      </c>
      <c r="M235">
        <v>141.69999999999999</v>
      </c>
      <c r="N235">
        <v>134.69999999999999</v>
      </c>
      <c r="O235">
        <v>156.19999999999999</v>
      </c>
      <c r="P235">
        <v>144.69999999999999</v>
      </c>
      <c r="Q235">
        <v>165.2</v>
      </c>
      <c r="R235">
        <v>148.9</v>
      </c>
      <c r="S235">
        <v>140.5</v>
      </c>
      <c r="T235">
        <v>147.6</v>
      </c>
      <c r="U235">
        <v>150.6</v>
      </c>
      <c r="V235">
        <v>139.30000000000001</v>
      </c>
      <c r="W235">
        <v>144.19999999999999</v>
      </c>
      <c r="X235">
        <v>147.9</v>
      </c>
      <c r="Y235">
        <v>125.6</v>
      </c>
      <c r="Z235">
        <v>140.5</v>
      </c>
      <c r="AA235">
        <v>154</v>
      </c>
      <c r="AB235">
        <v>135.69999999999999</v>
      </c>
      <c r="AC235">
        <v>139.5</v>
      </c>
      <c r="AD235">
        <v>144.19999999999999</v>
      </c>
    </row>
    <row r="236" spans="1:30" x14ac:dyDescent="0.3">
      <c r="A236" t="s">
        <v>30</v>
      </c>
      <c r="B236">
        <v>2019</v>
      </c>
      <c r="C236" t="s">
        <v>41</v>
      </c>
      <c r="D236">
        <v>139.19999999999999</v>
      </c>
      <c r="E236">
        <v>161.9</v>
      </c>
      <c r="F236">
        <v>137.1</v>
      </c>
      <c r="G236">
        <v>144.6</v>
      </c>
      <c r="H236">
        <v>124.7</v>
      </c>
      <c r="I236">
        <v>145.5</v>
      </c>
      <c r="J236">
        <v>156.19999999999999</v>
      </c>
      <c r="K236">
        <v>131.5</v>
      </c>
      <c r="L236">
        <v>111.7</v>
      </c>
      <c r="M236">
        <v>142.69999999999999</v>
      </c>
      <c r="N236">
        <v>138.5</v>
      </c>
      <c r="O236">
        <v>156.9</v>
      </c>
      <c r="P236">
        <v>144</v>
      </c>
      <c r="Q236">
        <v>165.1</v>
      </c>
      <c r="R236">
        <v>151.80000000000001</v>
      </c>
      <c r="S236">
        <v>146.6</v>
      </c>
      <c r="T236">
        <v>151.1</v>
      </c>
      <c r="U236" t="s">
        <v>32</v>
      </c>
      <c r="V236">
        <v>146.4</v>
      </c>
      <c r="W236">
        <v>150.19999999999999</v>
      </c>
      <c r="X236">
        <v>152.69999999999999</v>
      </c>
      <c r="Y236">
        <v>131.4</v>
      </c>
      <c r="Z236">
        <v>148</v>
      </c>
      <c r="AA236">
        <v>159.69999999999999</v>
      </c>
      <c r="AB236">
        <v>138.80000000000001</v>
      </c>
      <c r="AC236">
        <v>144.9</v>
      </c>
      <c r="AD236">
        <v>145.69999999999999</v>
      </c>
    </row>
    <row r="237" spans="1:30" x14ac:dyDescent="0.3">
      <c r="A237" t="s">
        <v>33</v>
      </c>
      <c r="B237">
        <v>2019</v>
      </c>
      <c r="C237" t="s">
        <v>41</v>
      </c>
      <c r="D237">
        <v>142.1</v>
      </c>
      <c r="E237">
        <v>158.30000000000001</v>
      </c>
      <c r="F237">
        <v>140.80000000000001</v>
      </c>
      <c r="G237">
        <v>144.9</v>
      </c>
      <c r="H237">
        <v>119.9</v>
      </c>
      <c r="I237">
        <v>153.9</v>
      </c>
      <c r="J237">
        <v>189.1</v>
      </c>
      <c r="K237">
        <v>129.80000000000001</v>
      </c>
      <c r="L237">
        <v>112.7</v>
      </c>
      <c r="M237">
        <v>142.5</v>
      </c>
      <c r="N237">
        <v>129.80000000000001</v>
      </c>
      <c r="O237">
        <v>156.19999999999999</v>
      </c>
      <c r="P237">
        <v>149.1</v>
      </c>
      <c r="Q237">
        <v>167.9</v>
      </c>
      <c r="R237">
        <v>145</v>
      </c>
      <c r="S237">
        <v>132.19999999999999</v>
      </c>
      <c r="T237">
        <v>143</v>
      </c>
      <c r="U237">
        <v>151.6</v>
      </c>
      <c r="V237">
        <v>125.5</v>
      </c>
      <c r="W237">
        <v>138.1</v>
      </c>
      <c r="X237">
        <v>141.5</v>
      </c>
      <c r="Y237">
        <v>120.8</v>
      </c>
      <c r="Z237">
        <v>135.4</v>
      </c>
      <c r="AA237">
        <v>151.5</v>
      </c>
      <c r="AB237">
        <v>137.80000000000001</v>
      </c>
      <c r="AC237">
        <v>135.30000000000001</v>
      </c>
      <c r="AD237">
        <v>144.19999999999999</v>
      </c>
    </row>
    <row r="238" spans="1:30" x14ac:dyDescent="0.3">
      <c r="A238" t="s">
        <v>34</v>
      </c>
      <c r="B238">
        <v>2019</v>
      </c>
      <c r="C238" t="s">
        <v>41</v>
      </c>
      <c r="D238">
        <v>140.1</v>
      </c>
      <c r="E238">
        <v>160.6</v>
      </c>
      <c r="F238">
        <v>138.5</v>
      </c>
      <c r="G238">
        <v>144.69999999999999</v>
      </c>
      <c r="H238">
        <v>122.9</v>
      </c>
      <c r="I238">
        <v>149.4</v>
      </c>
      <c r="J238">
        <v>167.4</v>
      </c>
      <c r="K238">
        <v>130.9</v>
      </c>
      <c r="L238">
        <v>112</v>
      </c>
      <c r="M238">
        <v>142.6</v>
      </c>
      <c r="N238">
        <v>134.9</v>
      </c>
      <c r="O238">
        <v>156.6</v>
      </c>
      <c r="P238">
        <v>145.9</v>
      </c>
      <c r="Q238">
        <v>165.8</v>
      </c>
      <c r="R238">
        <v>149.1</v>
      </c>
      <c r="S238">
        <v>140.6</v>
      </c>
      <c r="T238">
        <v>147.9</v>
      </c>
      <c r="U238">
        <v>151.6</v>
      </c>
      <c r="V238">
        <v>138.5</v>
      </c>
      <c r="W238">
        <v>144.5</v>
      </c>
      <c r="X238">
        <v>148.5</v>
      </c>
      <c r="Y238">
        <v>125.8</v>
      </c>
      <c r="Z238">
        <v>140.9</v>
      </c>
      <c r="AA238">
        <v>154.9</v>
      </c>
      <c r="AB238">
        <v>138.4</v>
      </c>
      <c r="AC238">
        <v>140.19999999999999</v>
      </c>
      <c r="AD238">
        <v>145</v>
      </c>
    </row>
    <row r="239" spans="1:30" x14ac:dyDescent="0.3">
      <c r="A239" t="s">
        <v>30</v>
      </c>
      <c r="B239">
        <v>2019</v>
      </c>
      <c r="C239" t="s">
        <v>42</v>
      </c>
      <c r="D239">
        <v>140.1</v>
      </c>
      <c r="E239">
        <v>161.9</v>
      </c>
      <c r="F239">
        <v>138.30000000000001</v>
      </c>
      <c r="G239">
        <v>145.69999999999999</v>
      </c>
      <c r="H239">
        <v>125.1</v>
      </c>
      <c r="I239">
        <v>143.80000000000001</v>
      </c>
      <c r="J239">
        <v>163.4</v>
      </c>
      <c r="K239">
        <v>132.19999999999999</v>
      </c>
      <c r="L239">
        <v>112.8</v>
      </c>
      <c r="M239">
        <v>144.19999999999999</v>
      </c>
      <c r="N239">
        <v>138.5</v>
      </c>
      <c r="O239">
        <v>157.19999999999999</v>
      </c>
      <c r="P239">
        <v>145.5</v>
      </c>
      <c r="Q239">
        <v>165.7</v>
      </c>
      <c r="R239">
        <v>151.69999999999999</v>
      </c>
      <c r="S239">
        <v>146.6</v>
      </c>
      <c r="T239">
        <v>151</v>
      </c>
      <c r="U239" t="s">
        <v>32</v>
      </c>
      <c r="V239">
        <v>146.9</v>
      </c>
      <c r="W239">
        <v>150.30000000000001</v>
      </c>
      <c r="X239">
        <v>153.4</v>
      </c>
      <c r="Y239">
        <v>131.6</v>
      </c>
      <c r="Z239">
        <v>148.30000000000001</v>
      </c>
      <c r="AA239">
        <v>160.19999999999999</v>
      </c>
      <c r="AB239">
        <v>140.19999999999999</v>
      </c>
      <c r="AC239">
        <v>145.4</v>
      </c>
      <c r="AD239">
        <v>146.69999999999999</v>
      </c>
    </row>
    <row r="240" spans="1:30" x14ac:dyDescent="0.3">
      <c r="A240" t="s">
        <v>33</v>
      </c>
      <c r="B240">
        <v>2019</v>
      </c>
      <c r="C240" t="s">
        <v>42</v>
      </c>
      <c r="D240">
        <v>142.69999999999999</v>
      </c>
      <c r="E240">
        <v>158.69999999999999</v>
      </c>
      <c r="F240">
        <v>141.6</v>
      </c>
      <c r="G240">
        <v>144.9</v>
      </c>
      <c r="H240">
        <v>120.8</v>
      </c>
      <c r="I240">
        <v>149.80000000000001</v>
      </c>
      <c r="J240">
        <v>192.4</v>
      </c>
      <c r="K240">
        <v>130.30000000000001</v>
      </c>
      <c r="L240">
        <v>114</v>
      </c>
      <c r="M240">
        <v>143.80000000000001</v>
      </c>
      <c r="N240">
        <v>130</v>
      </c>
      <c r="O240">
        <v>156.4</v>
      </c>
      <c r="P240">
        <v>149.5</v>
      </c>
      <c r="Q240">
        <v>168.6</v>
      </c>
      <c r="R240">
        <v>145.30000000000001</v>
      </c>
      <c r="S240">
        <v>132.19999999999999</v>
      </c>
      <c r="T240">
        <v>143.30000000000001</v>
      </c>
      <c r="U240">
        <v>152.19999999999999</v>
      </c>
      <c r="V240">
        <v>126.6</v>
      </c>
      <c r="W240">
        <v>138.30000000000001</v>
      </c>
      <c r="X240">
        <v>141.9</v>
      </c>
      <c r="Y240">
        <v>121.2</v>
      </c>
      <c r="Z240">
        <v>135.9</v>
      </c>
      <c r="AA240">
        <v>151.6</v>
      </c>
      <c r="AB240">
        <v>139</v>
      </c>
      <c r="AC240">
        <v>135.69999999999999</v>
      </c>
      <c r="AD240">
        <v>144.69999999999999</v>
      </c>
    </row>
    <row r="241" spans="1:30" x14ac:dyDescent="0.3">
      <c r="A241" t="s">
        <v>34</v>
      </c>
      <c r="B241">
        <v>2019</v>
      </c>
      <c r="C241" t="s">
        <v>42</v>
      </c>
      <c r="D241">
        <v>140.9</v>
      </c>
      <c r="E241">
        <v>160.80000000000001</v>
      </c>
      <c r="F241">
        <v>139.6</v>
      </c>
      <c r="G241">
        <v>145.4</v>
      </c>
      <c r="H241">
        <v>123.5</v>
      </c>
      <c r="I241">
        <v>146.6</v>
      </c>
      <c r="J241">
        <v>173.2</v>
      </c>
      <c r="K241">
        <v>131.6</v>
      </c>
      <c r="L241">
        <v>113.2</v>
      </c>
      <c r="M241">
        <v>144.1</v>
      </c>
      <c r="N241">
        <v>135</v>
      </c>
      <c r="O241">
        <v>156.80000000000001</v>
      </c>
      <c r="P241">
        <v>147</v>
      </c>
      <c r="Q241">
        <v>166.5</v>
      </c>
      <c r="R241">
        <v>149.19999999999999</v>
      </c>
      <c r="S241">
        <v>140.6</v>
      </c>
      <c r="T241">
        <v>147.9</v>
      </c>
      <c r="U241">
        <v>152.19999999999999</v>
      </c>
      <c r="V241">
        <v>139.19999999999999</v>
      </c>
      <c r="W241">
        <v>144.6</v>
      </c>
      <c r="X241">
        <v>149</v>
      </c>
      <c r="Y241">
        <v>126.1</v>
      </c>
      <c r="Z241">
        <v>141.30000000000001</v>
      </c>
      <c r="AA241">
        <v>155.19999999999999</v>
      </c>
      <c r="AB241">
        <v>139.69999999999999</v>
      </c>
      <c r="AC241">
        <v>140.69999999999999</v>
      </c>
      <c r="AD241">
        <v>145.80000000000001</v>
      </c>
    </row>
    <row r="242" spans="1:30" x14ac:dyDescent="0.3">
      <c r="A242" t="s">
        <v>30</v>
      </c>
      <c r="B242">
        <v>2019</v>
      </c>
      <c r="C242" t="s">
        <v>43</v>
      </c>
      <c r="D242">
        <v>141</v>
      </c>
      <c r="E242">
        <v>161.6</v>
      </c>
      <c r="F242">
        <v>141.19999999999999</v>
      </c>
      <c r="G242">
        <v>146.5</v>
      </c>
      <c r="H242">
        <v>125.6</v>
      </c>
      <c r="I242">
        <v>145.69999999999999</v>
      </c>
      <c r="J242">
        <v>178.8</v>
      </c>
      <c r="K242">
        <v>133.1</v>
      </c>
      <c r="L242">
        <v>113.6</v>
      </c>
      <c r="M242">
        <v>145.5</v>
      </c>
      <c r="N242">
        <v>138.6</v>
      </c>
      <c r="O242">
        <v>157.4</v>
      </c>
      <c r="P242">
        <v>148.30000000000001</v>
      </c>
      <c r="Q242">
        <v>166.3</v>
      </c>
      <c r="R242">
        <v>151.69999999999999</v>
      </c>
      <c r="S242">
        <v>146.69999999999999</v>
      </c>
      <c r="T242">
        <v>151</v>
      </c>
      <c r="U242" t="s">
        <v>32</v>
      </c>
      <c r="V242">
        <v>147.69999999999999</v>
      </c>
      <c r="W242">
        <v>150.6</v>
      </c>
      <c r="X242">
        <v>153.69999999999999</v>
      </c>
      <c r="Y242">
        <v>131.69999999999999</v>
      </c>
      <c r="Z242">
        <v>148.69999999999999</v>
      </c>
      <c r="AA242">
        <v>160.69999999999999</v>
      </c>
      <c r="AB242">
        <v>140.30000000000001</v>
      </c>
      <c r="AC242">
        <v>145.69999999999999</v>
      </c>
      <c r="AD242">
        <v>148.30000000000001</v>
      </c>
    </row>
    <row r="243" spans="1:30" x14ac:dyDescent="0.3">
      <c r="A243" t="s">
        <v>33</v>
      </c>
      <c r="B243">
        <v>2019</v>
      </c>
      <c r="C243" t="s">
        <v>43</v>
      </c>
      <c r="D243">
        <v>143.5</v>
      </c>
      <c r="E243">
        <v>159.80000000000001</v>
      </c>
      <c r="F243">
        <v>144.69999999999999</v>
      </c>
      <c r="G243">
        <v>145.6</v>
      </c>
      <c r="H243">
        <v>121.1</v>
      </c>
      <c r="I243">
        <v>150.6</v>
      </c>
      <c r="J243">
        <v>207.2</v>
      </c>
      <c r="K243">
        <v>131.19999999999999</v>
      </c>
      <c r="L243">
        <v>114.8</v>
      </c>
      <c r="M243">
        <v>145.19999999999999</v>
      </c>
      <c r="N243">
        <v>130.19999999999999</v>
      </c>
      <c r="O243">
        <v>156.80000000000001</v>
      </c>
      <c r="P243">
        <v>151.9</v>
      </c>
      <c r="Q243">
        <v>169.3</v>
      </c>
      <c r="R243">
        <v>145.9</v>
      </c>
      <c r="S243">
        <v>132.4</v>
      </c>
      <c r="T243">
        <v>143.9</v>
      </c>
      <c r="U243">
        <v>153</v>
      </c>
      <c r="V243">
        <v>128.9</v>
      </c>
      <c r="W243">
        <v>138.69999999999999</v>
      </c>
      <c r="X243">
        <v>142.4</v>
      </c>
      <c r="Y243">
        <v>121.5</v>
      </c>
      <c r="Z243">
        <v>136.19999999999999</v>
      </c>
      <c r="AA243">
        <v>151.69999999999999</v>
      </c>
      <c r="AB243">
        <v>139.5</v>
      </c>
      <c r="AC243">
        <v>136</v>
      </c>
      <c r="AD243">
        <v>146</v>
      </c>
    </row>
    <row r="244" spans="1:30" x14ac:dyDescent="0.3">
      <c r="A244" t="s">
        <v>34</v>
      </c>
      <c r="B244">
        <v>2019</v>
      </c>
      <c r="C244" t="s">
        <v>43</v>
      </c>
      <c r="D244">
        <v>141.80000000000001</v>
      </c>
      <c r="E244">
        <v>161</v>
      </c>
      <c r="F244">
        <v>142.6</v>
      </c>
      <c r="G244">
        <v>146.19999999999999</v>
      </c>
      <c r="H244">
        <v>123.9</v>
      </c>
      <c r="I244">
        <v>148</v>
      </c>
      <c r="J244">
        <v>188.4</v>
      </c>
      <c r="K244">
        <v>132.5</v>
      </c>
      <c r="L244">
        <v>114</v>
      </c>
      <c r="M244">
        <v>145.4</v>
      </c>
      <c r="N244">
        <v>135.1</v>
      </c>
      <c r="O244">
        <v>157.1</v>
      </c>
      <c r="P244">
        <v>149.6</v>
      </c>
      <c r="Q244">
        <v>167.1</v>
      </c>
      <c r="R244">
        <v>149.4</v>
      </c>
      <c r="S244">
        <v>140.80000000000001</v>
      </c>
      <c r="T244">
        <v>148.19999999999999</v>
      </c>
      <c r="U244">
        <v>153</v>
      </c>
      <c r="V244">
        <v>140.6</v>
      </c>
      <c r="W244">
        <v>145</v>
      </c>
      <c r="X244">
        <v>149.4</v>
      </c>
      <c r="Y244">
        <v>126.3</v>
      </c>
      <c r="Z244">
        <v>141.69999999999999</v>
      </c>
      <c r="AA244">
        <v>155.4</v>
      </c>
      <c r="AB244">
        <v>140</v>
      </c>
      <c r="AC244">
        <v>141</v>
      </c>
      <c r="AD244">
        <v>147.19999999999999</v>
      </c>
    </row>
    <row r="245" spans="1:30" x14ac:dyDescent="0.3">
      <c r="A245" t="s">
        <v>30</v>
      </c>
      <c r="B245">
        <v>2019</v>
      </c>
      <c r="C245" t="s">
        <v>45</v>
      </c>
      <c r="D245">
        <v>141.80000000000001</v>
      </c>
      <c r="E245">
        <v>163.69999999999999</v>
      </c>
      <c r="F245">
        <v>143.80000000000001</v>
      </c>
      <c r="G245">
        <v>147.1</v>
      </c>
      <c r="H245">
        <v>126</v>
      </c>
      <c r="I245">
        <v>146.19999999999999</v>
      </c>
      <c r="J245">
        <v>191.4</v>
      </c>
      <c r="K245">
        <v>136.19999999999999</v>
      </c>
      <c r="L245">
        <v>113.8</v>
      </c>
      <c r="M245">
        <v>147.30000000000001</v>
      </c>
      <c r="N245">
        <v>138.69999999999999</v>
      </c>
      <c r="O245">
        <v>157.69999999999999</v>
      </c>
      <c r="P245">
        <v>150.9</v>
      </c>
      <c r="Q245">
        <v>167.2</v>
      </c>
      <c r="R245">
        <v>152.30000000000001</v>
      </c>
      <c r="S245">
        <v>147</v>
      </c>
      <c r="T245">
        <v>151.5</v>
      </c>
      <c r="U245" t="s">
        <v>32</v>
      </c>
      <c r="V245">
        <v>148.4</v>
      </c>
      <c r="W245">
        <v>150.9</v>
      </c>
      <c r="X245">
        <v>154.30000000000001</v>
      </c>
      <c r="Y245">
        <v>132.1</v>
      </c>
      <c r="Z245">
        <v>149.1</v>
      </c>
      <c r="AA245">
        <v>160.80000000000001</v>
      </c>
      <c r="AB245">
        <v>140.6</v>
      </c>
      <c r="AC245">
        <v>146.1</v>
      </c>
      <c r="AD245">
        <v>149.9</v>
      </c>
    </row>
    <row r="246" spans="1:30" x14ac:dyDescent="0.3">
      <c r="A246" t="s">
        <v>33</v>
      </c>
      <c r="B246">
        <v>2019</v>
      </c>
      <c r="C246" t="s">
        <v>45</v>
      </c>
      <c r="D246">
        <v>144.1</v>
      </c>
      <c r="E246">
        <v>162.4</v>
      </c>
      <c r="F246">
        <v>148.4</v>
      </c>
      <c r="G246">
        <v>145.9</v>
      </c>
      <c r="H246">
        <v>121.5</v>
      </c>
      <c r="I246">
        <v>148.80000000000001</v>
      </c>
      <c r="J246">
        <v>215.7</v>
      </c>
      <c r="K246">
        <v>134.6</v>
      </c>
      <c r="L246">
        <v>115</v>
      </c>
      <c r="M246">
        <v>146.30000000000001</v>
      </c>
      <c r="N246">
        <v>130.5</v>
      </c>
      <c r="O246">
        <v>157.19999999999999</v>
      </c>
      <c r="P246">
        <v>153.6</v>
      </c>
      <c r="Q246">
        <v>169.9</v>
      </c>
      <c r="R246">
        <v>146.30000000000001</v>
      </c>
      <c r="S246">
        <v>132.6</v>
      </c>
      <c r="T246">
        <v>144.19999999999999</v>
      </c>
      <c r="U246">
        <v>153.5</v>
      </c>
      <c r="V246">
        <v>132.19999999999999</v>
      </c>
      <c r="W246">
        <v>139.1</v>
      </c>
      <c r="X246">
        <v>142.80000000000001</v>
      </c>
      <c r="Y246">
        <v>121.7</v>
      </c>
      <c r="Z246">
        <v>136.69999999999999</v>
      </c>
      <c r="AA246">
        <v>151.80000000000001</v>
      </c>
      <c r="AB246">
        <v>139.80000000000001</v>
      </c>
      <c r="AC246">
        <v>136.30000000000001</v>
      </c>
      <c r="AD246">
        <v>147</v>
      </c>
    </row>
    <row r="247" spans="1:30" x14ac:dyDescent="0.3">
      <c r="A247" t="s">
        <v>34</v>
      </c>
      <c r="B247">
        <v>2019</v>
      </c>
      <c r="C247" t="s">
        <v>45</v>
      </c>
      <c r="D247">
        <v>142.5</v>
      </c>
      <c r="E247">
        <v>163.19999999999999</v>
      </c>
      <c r="F247">
        <v>145.6</v>
      </c>
      <c r="G247">
        <v>146.69999999999999</v>
      </c>
      <c r="H247">
        <v>124.3</v>
      </c>
      <c r="I247">
        <v>147.4</v>
      </c>
      <c r="J247">
        <v>199.6</v>
      </c>
      <c r="K247">
        <v>135.69999999999999</v>
      </c>
      <c r="L247">
        <v>114.2</v>
      </c>
      <c r="M247">
        <v>147</v>
      </c>
      <c r="N247">
        <v>135.30000000000001</v>
      </c>
      <c r="O247">
        <v>157.5</v>
      </c>
      <c r="P247">
        <v>151.9</v>
      </c>
      <c r="Q247">
        <v>167.9</v>
      </c>
      <c r="R247">
        <v>149.9</v>
      </c>
      <c r="S247">
        <v>141</v>
      </c>
      <c r="T247">
        <v>148.6</v>
      </c>
      <c r="U247">
        <v>153.5</v>
      </c>
      <c r="V247">
        <v>142.30000000000001</v>
      </c>
      <c r="W247">
        <v>145.30000000000001</v>
      </c>
      <c r="X247">
        <v>149.9</v>
      </c>
      <c r="Y247">
        <v>126.6</v>
      </c>
      <c r="Z247">
        <v>142.1</v>
      </c>
      <c r="AA247">
        <v>155.5</v>
      </c>
      <c r="AB247">
        <v>140.30000000000001</v>
      </c>
      <c r="AC247">
        <v>141.30000000000001</v>
      </c>
      <c r="AD247">
        <v>148.6</v>
      </c>
    </row>
    <row r="248" spans="1:30" x14ac:dyDescent="0.3">
      <c r="A248" t="s">
        <v>30</v>
      </c>
      <c r="B248">
        <v>2019</v>
      </c>
      <c r="C248" t="s">
        <v>46</v>
      </c>
      <c r="D248">
        <v>142.80000000000001</v>
      </c>
      <c r="E248">
        <v>165.3</v>
      </c>
      <c r="F248">
        <v>149.5</v>
      </c>
      <c r="G248">
        <v>148.69999999999999</v>
      </c>
      <c r="H248">
        <v>127.5</v>
      </c>
      <c r="I248">
        <v>144.30000000000001</v>
      </c>
      <c r="J248">
        <v>209.5</v>
      </c>
      <c r="K248">
        <v>138.80000000000001</v>
      </c>
      <c r="L248">
        <v>113.6</v>
      </c>
      <c r="M248">
        <v>149.1</v>
      </c>
      <c r="N248">
        <v>139.30000000000001</v>
      </c>
      <c r="O248">
        <v>158.30000000000001</v>
      </c>
      <c r="P248">
        <v>154.30000000000001</v>
      </c>
      <c r="Q248">
        <v>167.8</v>
      </c>
      <c r="R248">
        <v>152.6</v>
      </c>
      <c r="S248">
        <v>147.30000000000001</v>
      </c>
      <c r="T248">
        <v>151.9</v>
      </c>
      <c r="U248" t="s">
        <v>32</v>
      </c>
      <c r="V248">
        <v>149.9</v>
      </c>
      <c r="W248">
        <v>151.19999999999999</v>
      </c>
      <c r="X248">
        <v>154.80000000000001</v>
      </c>
      <c r="Y248">
        <v>135</v>
      </c>
      <c r="Z248">
        <v>149.5</v>
      </c>
      <c r="AA248">
        <v>161.1</v>
      </c>
      <c r="AB248">
        <v>140.6</v>
      </c>
      <c r="AC248">
        <v>147.1</v>
      </c>
      <c r="AD248">
        <v>152.30000000000001</v>
      </c>
    </row>
    <row r="249" spans="1:30" x14ac:dyDescent="0.3">
      <c r="A249" t="s">
        <v>33</v>
      </c>
      <c r="B249">
        <v>2019</v>
      </c>
      <c r="C249" t="s">
        <v>46</v>
      </c>
      <c r="D249">
        <v>144.9</v>
      </c>
      <c r="E249">
        <v>164.5</v>
      </c>
      <c r="F249">
        <v>153.69999999999999</v>
      </c>
      <c r="G249">
        <v>147.5</v>
      </c>
      <c r="H249">
        <v>122.7</v>
      </c>
      <c r="I249">
        <v>147.19999999999999</v>
      </c>
      <c r="J249">
        <v>231.5</v>
      </c>
      <c r="K249">
        <v>137.19999999999999</v>
      </c>
      <c r="L249">
        <v>114.7</v>
      </c>
      <c r="M249">
        <v>148</v>
      </c>
      <c r="N249">
        <v>130.80000000000001</v>
      </c>
      <c r="O249">
        <v>157.69999999999999</v>
      </c>
      <c r="P249">
        <v>156.30000000000001</v>
      </c>
      <c r="Q249">
        <v>170.4</v>
      </c>
      <c r="R249">
        <v>146.80000000000001</v>
      </c>
      <c r="S249">
        <v>132.80000000000001</v>
      </c>
      <c r="T249">
        <v>144.6</v>
      </c>
      <c r="U249">
        <v>152.80000000000001</v>
      </c>
      <c r="V249">
        <v>133.6</v>
      </c>
      <c r="W249">
        <v>139.80000000000001</v>
      </c>
      <c r="X249">
        <v>143.19999999999999</v>
      </c>
      <c r="Y249">
        <v>125.2</v>
      </c>
      <c r="Z249">
        <v>136.80000000000001</v>
      </c>
      <c r="AA249">
        <v>151.9</v>
      </c>
      <c r="AB249">
        <v>140.19999999999999</v>
      </c>
      <c r="AC249">
        <v>137.69999999999999</v>
      </c>
      <c r="AD249">
        <v>148.30000000000001</v>
      </c>
    </row>
    <row r="250" spans="1:30" x14ac:dyDescent="0.3">
      <c r="A250" t="s">
        <v>34</v>
      </c>
      <c r="B250">
        <v>2019</v>
      </c>
      <c r="C250" t="s">
        <v>46</v>
      </c>
      <c r="D250">
        <v>143.5</v>
      </c>
      <c r="E250">
        <v>165</v>
      </c>
      <c r="F250">
        <v>151.1</v>
      </c>
      <c r="G250">
        <v>148.30000000000001</v>
      </c>
      <c r="H250">
        <v>125.7</v>
      </c>
      <c r="I250">
        <v>145.69999999999999</v>
      </c>
      <c r="J250">
        <v>217</v>
      </c>
      <c r="K250">
        <v>138.30000000000001</v>
      </c>
      <c r="L250">
        <v>114</v>
      </c>
      <c r="M250">
        <v>148.69999999999999</v>
      </c>
      <c r="N250">
        <v>135.80000000000001</v>
      </c>
      <c r="O250">
        <v>158</v>
      </c>
      <c r="P250">
        <v>155</v>
      </c>
      <c r="Q250">
        <v>168.5</v>
      </c>
      <c r="R250">
        <v>150.30000000000001</v>
      </c>
      <c r="S250">
        <v>141.30000000000001</v>
      </c>
      <c r="T250">
        <v>149</v>
      </c>
      <c r="U250">
        <v>152.80000000000001</v>
      </c>
      <c r="V250">
        <v>143.69999999999999</v>
      </c>
      <c r="W250">
        <v>145.80000000000001</v>
      </c>
      <c r="X250">
        <v>150.4</v>
      </c>
      <c r="Y250">
        <v>129.80000000000001</v>
      </c>
      <c r="Z250">
        <v>142.30000000000001</v>
      </c>
      <c r="AA250">
        <v>155.69999999999999</v>
      </c>
      <c r="AB250">
        <v>140.4</v>
      </c>
      <c r="AC250">
        <v>142.5</v>
      </c>
      <c r="AD250">
        <v>150.4</v>
      </c>
    </row>
    <row r="251" spans="1:30" x14ac:dyDescent="0.3">
      <c r="A251" t="s">
        <v>30</v>
      </c>
      <c r="B251">
        <v>2020</v>
      </c>
      <c r="C251" t="s">
        <v>31</v>
      </c>
      <c r="D251">
        <v>143.69999999999999</v>
      </c>
      <c r="E251">
        <v>167.3</v>
      </c>
      <c r="F251">
        <v>153.5</v>
      </c>
      <c r="G251">
        <v>150.5</v>
      </c>
      <c r="H251">
        <v>132</v>
      </c>
      <c r="I251">
        <v>142.19999999999999</v>
      </c>
      <c r="J251">
        <v>191.5</v>
      </c>
      <c r="K251">
        <v>141.1</v>
      </c>
      <c r="L251">
        <v>113.8</v>
      </c>
      <c r="M251">
        <v>151.6</v>
      </c>
      <c r="N251">
        <v>139.69999999999999</v>
      </c>
      <c r="O251">
        <v>158.69999999999999</v>
      </c>
      <c r="P251">
        <v>153</v>
      </c>
      <c r="Q251">
        <v>168.6</v>
      </c>
      <c r="R251">
        <v>152.80000000000001</v>
      </c>
      <c r="S251">
        <v>147.4</v>
      </c>
      <c r="T251">
        <v>152.1</v>
      </c>
      <c r="U251" t="s">
        <v>32</v>
      </c>
      <c r="V251">
        <v>150.4</v>
      </c>
      <c r="W251">
        <v>151.69999999999999</v>
      </c>
      <c r="X251">
        <v>155.69999999999999</v>
      </c>
      <c r="Y251">
        <v>136.30000000000001</v>
      </c>
      <c r="Z251">
        <v>150.1</v>
      </c>
      <c r="AA251">
        <v>161.69999999999999</v>
      </c>
      <c r="AB251">
        <v>142.5</v>
      </c>
      <c r="AC251">
        <v>148.1</v>
      </c>
      <c r="AD251">
        <v>151.9</v>
      </c>
    </row>
    <row r="252" spans="1:30" x14ac:dyDescent="0.3">
      <c r="A252" t="s">
        <v>33</v>
      </c>
      <c r="B252">
        <v>2020</v>
      </c>
      <c r="C252" t="s">
        <v>31</v>
      </c>
      <c r="D252">
        <v>145.6</v>
      </c>
      <c r="E252">
        <v>167.6</v>
      </c>
      <c r="F252">
        <v>157</v>
      </c>
      <c r="G252">
        <v>149.30000000000001</v>
      </c>
      <c r="H252">
        <v>126.3</v>
      </c>
      <c r="I252">
        <v>144.4</v>
      </c>
      <c r="J252">
        <v>207.8</v>
      </c>
      <c r="K252">
        <v>139.1</v>
      </c>
      <c r="L252">
        <v>114.8</v>
      </c>
      <c r="M252">
        <v>149.5</v>
      </c>
      <c r="N252">
        <v>131.1</v>
      </c>
      <c r="O252">
        <v>158.5</v>
      </c>
      <c r="P252">
        <v>154.4</v>
      </c>
      <c r="Q252">
        <v>170.8</v>
      </c>
      <c r="R252">
        <v>147</v>
      </c>
      <c r="S252">
        <v>133.19999999999999</v>
      </c>
      <c r="T252">
        <v>144.9</v>
      </c>
      <c r="U252">
        <v>153.9</v>
      </c>
      <c r="V252">
        <v>135.1</v>
      </c>
      <c r="W252">
        <v>140.1</v>
      </c>
      <c r="X252">
        <v>143.80000000000001</v>
      </c>
      <c r="Y252">
        <v>126.1</v>
      </c>
      <c r="Z252">
        <v>137.19999999999999</v>
      </c>
      <c r="AA252">
        <v>152.1</v>
      </c>
      <c r="AB252">
        <v>142.1</v>
      </c>
      <c r="AC252">
        <v>138.4</v>
      </c>
      <c r="AD252">
        <v>148.19999999999999</v>
      </c>
    </row>
    <row r="253" spans="1:30" x14ac:dyDescent="0.3">
      <c r="A253" t="s">
        <v>34</v>
      </c>
      <c r="B253">
        <v>2020</v>
      </c>
      <c r="C253" t="s">
        <v>31</v>
      </c>
      <c r="D253">
        <v>144.30000000000001</v>
      </c>
      <c r="E253">
        <v>167.4</v>
      </c>
      <c r="F253">
        <v>154.9</v>
      </c>
      <c r="G253">
        <v>150.1</v>
      </c>
      <c r="H253">
        <v>129.9</v>
      </c>
      <c r="I253">
        <v>143.19999999999999</v>
      </c>
      <c r="J253">
        <v>197</v>
      </c>
      <c r="K253">
        <v>140.4</v>
      </c>
      <c r="L253">
        <v>114.1</v>
      </c>
      <c r="M253">
        <v>150.9</v>
      </c>
      <c r="N253">
        <v>136.1</v>
      </c>
      <c r="O253">
        <v>158.6</v>
      </c>
      <c r="P253">
        <v>153.5</v>
      </c>
      <c r="Q253">
        <v>169.2</v>
      </c>
      <c r="R253">
        <v>150.5</v>
      </c>
      <c r="S253">
        <v>141.5</v>
      </c>
      <c r="T253">
        <v>149.19999999999999</v>
      </c>
      <c r="U253">
        <v>153.9</v>
      </c>
      <c r="V253">
        <v>144.6</v>
      </c>
      <c r="W253">
        <v>146.19999999999999</v>
      </c>
      <c r="X253">
        <v>151.19999999999999</v>
      </c>
      <c r="Y253">
        <v>130.9</v>
      </c>
      <c r="Z253">
        <v>142.80000000000001</v>
      </c>
      <c r="AA253">
        <v>156.1</v>
      </c>
      <c r="AB253">
        <v>142.30000000000001</v>
      </c>
      <c r="AC253">
        <v>143.4</v>
      </c>
      <c r="AD253">
        <v>150.19999999999999</v>
      </c>
    </row>
    <row r="254" spans="1:30" x14ac:dyDescent="0.3">
      <c r="A254" t="s">
        <v>30</v>
      </c>
      <c r="B254">
        <v>2020</v>
      </c>
      <c r="C254" t="s">
        <v>35</v>
      </c>
      <c r="D254">
        <v>144.19999999999999</v>
      </c>
      <c r="E254">
        <v>167.5</v>
      </c>
      <c r="F254">
        <v>150.9</v>
      </c>
      <c r="G254">
        <v>150.9</v>
      </c>
      <c r="H254">
        <v>133.69999999999999</v>
      </c>
      <c r="I254">
        <v>140.69999999999999</v>
      </c>
      <c r="J254">
        <v>165.1</v>
      </c>
      <c r="K254">
        <v>141.80000000000001</v>
      </c>
      <c r="L254">
        <v>113.1</v>
      </c>
      <c r="M254">
        <v>152.80000000000001</v>
      </c>
      <c r="N254">
        <v>140.1</v>
      </c>
      <c r="O254">
        <v>159.19999999999999</v>
      </c>
      <c r="P254">
        <v>149.80000000000001</v>
      </c>
      <c r="Q254">
        <v>169.4</v>
      </c>
      <c r="R254">
        <v>153</v>
      </c>
      <c r="S254">
        <v>147.5</v>
      </c>
      <c r="T254">
        <v>152.30000000000001</v>
      </c>
      <c r="U254" t="s">
        <v>32</v>
      </c>
      <c r="V254">
        <v>152.30000000000001</v>
      </c>
      <c r="W254">
        <v>151.80000000000001</v>
      </c>
      <c r="X254">
        <v>156.19999999999999</v>
      </c>
      <c r="Y254">
        <v>136</v>
      </c>
      <c r="Z254">
        <v>150.4</v>
      </c>
      <c r="AA254">
        <v>161.9</v>
      </c>
      <c r="AB254">
        <v>143.4</v>
      </c>
      <c r="AC254">
        <v>148.4</v>
      </c>
      <c r="AD254">
        <v>150.4</v>
      </c>
    </row>
    <row r="255" spans="1:30" x14ac:dyDescent="0.3">
      <c r="A255" t="s">
        <v>33</v>
      </c>
      <c r="B255">
        <v>2020</v>
      </c>
      <c r="C255" t="s">
        <v>35</v>
      </c>
      <c r="D255">
        <v>146.19999999999999</v>
      </c>
      <c r="E255">
        <v>167.6</v>
      </c>
      <c r="F255">
        <v>153.1</v>
      </c>
      <c r="G255">
        <v>150.69999999999999</v>
      </c>
      <c r="H255">
        <v>127.4</v>
      </c>
      <c r="I255">
        <v>143.1</v>
      </c>
      <c r="J255">
        <v>181.7</v>
      </c>
      <c r="K255">
        <v>139.6</v>
      </c>
      <c r="L255">
        <v>114.6</v>
      </c>
      <c r="M255">
        <v>150.4</v>
      </c>
      <c r="N255">
        <v>131.5</v>
      </c>
      <c r="O255">
        <v>159</v>
      </c>
      <c r="P255">
        <v>151.69999999999999</v>
      </c>
      <c r="Q255">
        <v>172</v>
      </c>
      <c r="R255">
        <v>147.30000000000001</v>
      </c>
      <c r="S255">
        <v>133.5</v>
      </c>
      <c r="T255">
        <v>145.19999999999999</v>
      </c>
      <c r="U255">
        <v>154.80000000000001</v>
      </c>
      <c r="V255">
        <v>138.9</v>
      </c>
      <c r="W255">
        <v>140.4</v>
      </c>
      <c r="X255">
        <v>144.4</v>
      </c>
      <c r="Y255">
        <v>125.2</v>
      </c>
      <c r="Z255">
        <v>137.69999999999999</v>
      </c>
      <c r="AA255">
        <v>152.19999999999999</v>
      </c>
      <c r="AB255">
        <v>143.5</v>
      </c>
      <c r="AC255">
        <v>138.4</v>
      </c>
      <c r="AD255">
        <v>147.69999999999999</v>
      </c>
    </row>
    <row r="256" spans="1:30" x14ac:dyDescent="0.3">
      <c r="A256" t="s">
        <v>34</v>
      </c>
      <c r="B256">
        <v>2020</v>
      </c>
      <c r="C256" t="s">
        <v>35</v>
      </c>
      <c r="D256">
        <v>144.80000000000001</v>
      </c>
      <c r="E256">
        <v>167.5</v>
      </c>
      <c r="F256">
        <v>151.80000000000001</v>
      </c>
      <c r="G256">
        <v>150.80000000000001</v>
      </c>
      <c r="H256">
        <v>131.4</v>
      </c>
      <c r="I256">
        <v>141.80000000000001</v>
      </c>
      <c r="J256">
        <v>170.7</v>
      </c>
      <c r="K256">
        <v>141.1</v>
      </c>
      <c r="L256">
        <v>113.6</v>
      </c>
      <c r="M256">
        <v>152</v>
      </c>
      <c r="N256">
        <v>136.5</v>
      </c>
      <c r="O256">
        <v>159.1</v>
      </c>
      <c r="P256">
        <v>150.5</v>
      </c>
      <c r="Q256">
        <v>170.1</v>
      </c>
      <c r="R256">
        <v>150.80000000000001</v>
      </c>
      <c r="S256">
        <v>141.69999999999999</v>
      </c>
      <c r="T256">
        <v>149.5</v>
      </c>
      <c r="U256">
        <v>154.80000000000001</v>
      </c>
      <c r="V256">
        <v>147.19999999999999</v>
      </c>
      <c r="W256">
        <v>146.4</v>
      </c>
      <c r="X256">
        <v>151.69999999999999</v>
      </c>
      <c r="Y256">
        <v>130.30000000000001</v>
      </c>
      <c r="Z256">
        <v>143.19999999999999</v>
      </c>
      <c r="AA256">
        <v>156.19999999999999</v>
      </c>
      <c r="AB256">
        <v>143.4</v>
      </c>
      <c r="AC256">
        <v>143.6</v>
      </c>
      <c r="AD256">
        <v>149.1</v>
      </c>
    </row>
    <row r="257" spans="1:30" x14ac:dyDescent="0.3">
      <c r="A257" t="s">
        <v>30</v>
      </c>
      <c r="B257">
        <v>2020</v>
      </c>
      <c r="C257" t="s">
        <v>36</v>
      </c>
      <c r="D257">
        <v>144.4</v>
      </c>
      <c r="E257">
        <v>166.8</v>
      </c>
      <c r="F257">
        <v>147.6</v>
      </c>
      <c r="G257">
        <v>151.69999999999999</v>
      </c>
      <c r="H257">
        <v>133.30000000000001</v>
      </c>
      <c r="I257">
        <v>141.80000000000001</v>
      </c>
      <c r="J257">
        <v>152.30000000000001</v>
      </c>
      <c r="K257">
        <v>141.80000000000001</v>
      </c>
      <c r="L257">
        <v>112.6</v>
      </c>
      <c r="M257">
        <v>154</v>
      </c>
      <c r="N257">
        <v>140.1</v>
      </c>
      <c r="O257">
        <v>160</v>
      </c>
      <c r="P257">
        <v>148.19999999999999</v>
      </c>
      <c r="Q257">
        <v>170.5</v>
      </c>
      <c r="R257">
        <v>153.4</v>
      </c>
      <c r="S257">
        <v>147.6</v>
      </c>
      <c r="T257">
        <v>152.5</v>
      </c>
      <c r="U257" t="s">
        <v>32</v>
      </c>
      <c r="V257">
        <v>153.4</v>
      </c>
      <c r="W257">
        <v>151.5</v>
      </c>
      <c r="X257">
        <v>156.69999999999999</v>
      </c>
      <c r="Y257">
        <v>135.80000000000001</v>
      </c>
      <c r="Z257">
        <v>151.19999999999999</v>
      </c>
      <c r="AA257">
        <v>161.19999999999999</v>
      </c>
      <c r="AB257">
        <v>145.1</v>
      </c>
      <c r="AC257">
        <v>148.6</v>
      </c>
      <c r="AD257">
        <v>149.80000000000001</v>
      </c>
    </row>
    <row r="258" spans="1:30" x14ac:dyDescent="0.3">
      <c r="A258" t="s">
        <v>33</v>
      </c>
      <c r="B258">
        <v>2020</v>
      </c>
      <c r="C258" t="s">
        <v>36</v>
      </c>
      <c r="D258">
        <v>146.5</v>
      </c>
      <c r="E258">
        <v>167.5</v>
      </c>
      <c r="F258">
        <v>148.9</v>
      </c>
      <c r="G258">
        <v>151.1</v>
      </c>
      <c r="H258">
        <v>127.5</v>
      </c>
      <c r="I258">
        <v>143.30000000000001</v>
      </c>
      <c r="J258">
        <v>167</v>
      </c>
      <c r="K258">
        <v>139.69999999999999</v>
      </c>
      <c r="L258">
        <v>114.4</v>
      </c>
      <c r="M258">
        <v>151.5</v>
      </c>
      <c r="N258">
        <v>131.9</v>
      </c>
      <c r="O258">
        <v>159.1</v>
      </c>
      <c r="P258">
        <v>150.1</v>
      </c>
      <c r="Q258">
        <v>173.3</v>
      </c>
      <c r="R258">
        <v>147.69999999999999</v>
      </c>
      <c r="S258">
        <v>133.80000000000001</v>
      </c>
      <c r="T258">
        <v>145.6</v>
      </c>
      <c r="U258">
        <v>154.5</v>
      </c>
      <c r="V258">
        <v>141.4</v>
      </c>
      <c r="W258">
        <v>140.80000000000001</v>
      </c>
      <c r="X258">
        <v>145</v>
      </c>
      <c r="Y258">
        <v>124.6</v>
      </c>
      <c r="Z258">
        <v>137.9</v>
      </c>
      <c r="AA258">
        <v>152.5</v>
      </c>
      <c r="AB258">
        <v>145.30000000000001</v>
      </c>
      <c r="AC258">
        <v>138.69999999999999</v>
      </c>
      <c r="AD258">
        <v>147.30000000000001</v>
      </c>
    </row>
    <row r="259" spans="1:30" x14ac:dyDescent="0.3">
      <c r="A259" t="s">
        <v>34</v>
      </c>
      <c r="B259">
        <v>2020</v>
      </c>
      <c r="C259" t="s">
        <v>36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159.6</v>
      </c>
      <c r="P259">
        <v>148.9</v>
      </c>
      <c r="Q259">
        <v>171.2</v>
      </c>
      <c r="R259">
        <v>151.19999999999999</v>
      </c>
      <c r="S259">
        <v>141.9</v>
      </c>
      <c r="T259">
        <v>149.80000000000001</v>
      </c>
      <c r="U259">
        <v>154.5</v>
      </c>
      <c r="V259">
        <v>148.9</v>
      </c>
      <c r="W259">
        <v>146.4</v>
      </c>
      <c r="X259">
        <v>152.30000000000001</v>
      </c>
      <c r="Y259">
        <v>129.9</v>
      </c>
      <c r="Z259">
        <v>143.69999999999999</v>
      </c>
      <c r="AA259">
        <v>156.1</v>
      </c>
      <c r="AB259">
        <v>145.19999999999999</v>
      </c>
      <c r="AC259">
        <v>143.80000000000001</v>
      </c>
      <c r="AD259">
        <v>148.6</v>
      </c>
    </row>
    <row r="260" spans="1:30" x14ac:dyDescent="0.3">
      <c r="A260" t="s">
        <v>30</v>
      </c>
      <c r="B260">
        <v>2020</v>
      </c>
      <c r="C260" t="s">
        <v>37</v>
      </c>
      <c r="D260">
        <v>147.19999999999999</v>
      </c>
      <c r="E260" t="s">
        <v>32</v>
      </c>
      <c r="F260">
        <v>146.9</v>
      </c>
      <c r="G260">
        <v>155.6</v>
      </c>
      <c r="H260">
        <v>137.1</v>
      </c>
      <c r="I260">
        <v>147.30000000000001</v>
      </c>
      <c r="J260">
        <v>162.69999999999999</v>
      </c>
      <c r="K260">
        <v>150.19999999999999</v>
      </c>
      <c r="L260">
        <v>119.8</v>
      </c>
      <c r="M260">
        <v>158.69999999999999</v>
      </c>
      <c r="N260">
        <v>139.19999999999999</v>
      </c>
      <c r="O260" t="s">
        <v>32</v>
      </c>
      <c r="P260">
        <v>150.1</v>
      </c>
      <c r="Q260" t="s">
        <v>32</v>
      </c>
      <c r="R260" t="s">
        <v>32</v>
      </c>
      <c r="S260" t="s">
        <v>32</v>
      </c>
      <c r="T260" t="s">
        <v>32</v>
      </c>
      <c r="U260" t="s">
        <v>32</v>
      </c>
      <c r="V260">
        <v>148.4</v>
      </c>
      <c r="W260" t="s">
        <v>32</v>
      </c>
      <c r="X260">
        <v>154.30000000000001</v>
      </c>
      <c r="Y260" t="s">
        <v>32</v>
      </c>
      <c r="Z260" t="s">
        <v>32</v>
      </c>
      <c r="AA260" t="s">
        <v>32</v>
      </c>
      <c r="AB260" t="s">
        <v>32</v>
      </c>
      <c r="AC260" t="s">
        <v>32</v>
      </c>
      <c r="AD260" t="s">
        <v>32</v>
      </c>
    </row>
    <row r="261" spans="1:30" x14ac:dyDescent="0.3">
      <c r="A261" t="s">
        <v>33</v>
      </c>
      <c r="B261">
        <v>2020</v>
      </c>
      <c r="C261" t="s">
        <v>37</v>
      </c>
      <c r="D261">
        <v>151.80000000000001</v>
      </c>
      <c r="E261" t="s">
        <v>32</v>
      </c>
      <c r="F261">
        <v>151.9</v>
      </c>
      <c r="G261">
        <v>155.5</v>
      </c>
      <c r="H261">
        <v>131.6</v>
      </c>
      <c r="I261">
        <v>152.9</v>
      </c>
      <c r="J261">
        <v>180</v>
      </c>
      <c r="K261">
        <v>150.80000000000001</v>
      </c>
      <c r="L261">
        <v>121.2</v>
      </c>
      <c r="M261">
        <v>154</v>
      </c>
      <c r="N261">
        <v>133.5</v>
      </c>
      <c r="O261" t="s">
        <v>32</v>
      </c>
      <c r="P261">
        <v>153.5</v>
      </c>
      <c r="Q261" t="s">
        <v>32</v>
      </c>
      <c r="R261" t="s">
        <v>32</v>
      </c>
      <c r="S261" t="s">
        <v>32</v>
      </c>
      <c r="T261" t="s">
        <v>32</v>
      </c>
      <c r="U261">
        <v>155.6</v>
      </c>
      <c r="V261">
        <v>137.1</v>
      </c>
      <c r="W261" t="s">
        <v>32</v>
      </c>
      <c r="X261">
        <v>144.80000000000001</v>
      </c>
      <c r="Y261" t="s">
        <v>32</v>
      </c>
      <c r="Z261" t="s">
        <v>32</v>
      </c>
      <c r="AA261" t="s">
        <v>32</v>
      </c>
      <c r="AB261" t="s">
        <v>32</v>
      </c>
      <c r="AC261" t="s">
        <v>32</v>
      </c>
      <c r="AD261" t="s">
        <v>32</v>
      </c>
    </row>
    <row r="262" spans="1:30" x14ac:dyDescent="0.3">
      <c r="A262" t="s">
        <v>34</v>
      </c>
      <c r="B262">
        <v>2020</v>
      </c>
      <c r="C262" t="s">
        <v>37</v>
      </c>
      <c r="D262">
        <v>148.69999999999999</v>
      </c>
      <c r="E262" t="s">
        <v>32</v>
      </c>
      <c r="F262">
        <v>148.80000000000001</v>
      </c>
      <c r="G262">
        <v>155.6</v>
      </c>
      <c r="H262">
        <v>135.1</v>
      </c>
      <c r="I262">
        <v>149.9</v>
      </c>
      <c r="J262">
        <v>168.6</v>
      </c>
      <c r="K262">
        <v>150.4</v>
      </c>
      <c r="L262">
        <v>120.3</v>
      </c>
      <c r="M262">
        <v>157.1</v>
      </c>
      <c r="N262">
        <v>136.80000000000001</v>
      </c>
      <c r="O262" t="s">
        <v>32</v>
      </c>
      <c r="P262">
        <v>151.4</v>
      </c>
      <c r="Q262" t="s">
        <v>32</v>
      </c>
      <c r="R262" t="s">
        <v>32</v>
      </c>
      <c r="S262" t="s">
        <v>32</v>
      </c>
      <c r="T262" t="s">
        <v>32</v>
      </c>
      <c r="U262">
        <v>155.6</v>
      </c>
      <c r="V262">
        <v>144.1</v>
      </c>
      <c r="W262" t="s">
        <v>32</v>
      </c>
      <c r="X262">
        <v>150.69999999999999</v>
      </c>
      <c r="Y262" t="s">
        <v>32</v>
      </c>
      <c r="Z262" t="s">
        <v>32</v>
      </c>
      <c r="AA262" t="s">
        <v>32</v>
      </c>
      <c r="AB262" t="s">
        <v>32</v>
      </c>
      <c r="AC262" t="s">
        <v>32</v>
      </c>
      <c r="AD262" t="s">
        <v>32</v>
      </c>
    </row>
    <row r="263" spans="1:30" x14ac:dyDescent="0.3">
      <c r="A263" t="s">
        <v>30</v>
      </c>
      <c r="B263">
        <v>2020</v>
      </c>
      <c r="C263" t="s">
        <v>38</v>
      </c>
      <c r="D263" t="s">
        <v>32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32</v>
      </c>
      <c r="K263" t="s">
        <v>32</v>
      </c>
      <c r="L263" t="s">
        <v>32</v>
      </c>
      <c r="M263" t="s">
        <v>32</v>
      </c>
      <c r="N263" t="s">
        <v>32</v>
      </c>
      <c r="O263" t="s">
        <v>32</v>
      </c>
      <c r="P263" t="s">
        <v>32</v>
      </c>
      <c r="Q263" t="s">
        <v>32</v>
      </c>
      <c r="R263" t="s">
        <v>32</v>
      </c>
      <c r="S263" t="s">
        <v>32</v>
      </c>
      <c r="T263" t="s">
        <v>32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  <c r="Z263" t="s">
        <v>32</v>
      </c>
      <c r="AA263" t="s">
        <v>32</v>
      </c>
      <c r="AB263" t="s">
        <v>32</v>
      </c>
      <c r="AC263" t="s">
        <v>32</v>
      </c>
      <c r="AD263" t="s">
        <v>32</v>
      </c>
    </row>
    <row r="264" spans="1:30" x14ac:dyDescent="0.3">
      <c r="A264" t="s">
        <v>33</v>
      </c>
      <c r="B264">
        <v>2020</v>
      </c>
      <c r="C264" t="s">
        <v>38</v>
      </c>
      <c r="D264" t="s">
        <v>32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32</v>
      </c>
      <c r="K264" t="s">
        <v>32</v>
      </c>
      <c r="L264" t="s">
        <v>32</v>
      </c>
      <c r="M264" t="s">
        <v>32</v>
      </c>
      <c r="N264" t="s">
        <v>32</v>
      </c>
      <c r="O264" t="s">
        <v>32</v>
      </c>
      <c r="P264" t="s">
        <v>32</v>
      </c>
      <c r="Q264" t="s">
        <v>32</v>
      </c>
      <c r="R264" t="s">
        <v>32</v>
      </c>
      <c r="S264" t="s">
        <v>32</v>
      </c>
      <c r="T264" t="s">
        <v>32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Z264" t="s">
        <v>32</v>
      </c>
      <c r="AA264" t="s">
        <v>32</v>
      </c>
      <c r="AB264" t="s">
        <v>32</v>
      </c>
      <c r="AC264" t="s">
        <v>32</v>
      </c>
      <c r="AD264" t="s">
        <v>32</v>
      </c>
    </row>
    <row r="265" spans="1:30" x14ac:dyDescent="0.3">
      <c r="A265" t="s">
        <v>34</v>
      </c>
      <c r="B265">
        <v>2020</v>
      </c>
      <c r="C265" t="s">
        <v>38</v>
      </c>
      <c r="D265" t="s">
        <v>32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32</v>
      </c>
      <c r="K265" t="s">
        <v>32</v>
      </c>
      <c r="L265" t="s">
        <v>32</v>
      </c>
      <c r="M265" t="s">
        <v>32</v>
      </c>
      <c r="N265" t="s">
        <v>32</v>
      </c>
      <c r="O265" t="s">
        <v>32</v>
      </c>
      <c r="P265" t="s">
        <v>32</v>
      </c>
      <c r="Q265" t="s">
        <v>32</v>
      </c>
      <c r="R265" t="s">
        <v>32</v>
      </c>
      <c r="S265" t="s">
        <v>32</v>
      </c>
      <c r="T265" t="s">
        <v>32</v>
      </c>
      <c r="U265" t="s">
        <v>32</v>
      </c>
      <c r="V265" t="s">
        <v>32</v>
      </c>
      <c r="W265" t="s">
        <v>32</v>
      </c>
      <c r="X265" t="s">
        <v>32</v>
      </c>
      <c r="Y265" t="s">
        <v>32</v>
      </c>
      <c r="Z265" t="s">
        <v>32</v>
      </c>
      <c r="AA265" t="s">
        <v>32</v>
      </c>
      <c r="AB265" t="s">
        <v>32</v>
      </c>
      <c r="AC265" t="s">
        <v>32</v>
      </c>
      <c r="AD265" t="s">
        <v>32</v>
      </c>
    </row>
    <row r="266" spans="1:30" x14ac:dyDescent="0.3">
      <c r="A266" t="s">
        <v>30</v>
      </c>
      <c r="B266">
        <v>2020</v>
      </c>
      <c r="C266" t="s">
        <v>39</v>
      </c>
      <c r="D266">
        <v>148.19999999999999</v>
      </c>
      <c r="E266">
        <v>190.3</v>
      </c>
      <c r="F266">
        <v>149.4</v>
      </c>
      <c r="G266">
        <v>153.30000000000001</v>
      </c>
      <c r="H266">
        <v>138.19999999999999</v>
      </c>
      <c r="I266">
        <v>143.19999999999999</v>
      </c>
      <c r="J266">
        <v>148.9</v>
      </c>
      <c r="K266">
        <v>150.30000000000001</v>
      </c>
      <c r="L266">
        <v>113.2</v>
      </c>
      <c r="M266">
        <v>159.80000000000001</v>
      </c>
      <c r="N266">
        <v>142.1</v>
      </c>
      <c r="O266">
        <v>161.80000000000001</v>
      </c>
      <c r="P266">
        <v>152.30000000000001</v>
      </c>
      <c r="Q266">
        <v>182.4</v>
      </c>
      <c r="R266">
        <v>154.69999999999999</v>
      </c>
      <c r="S266">
        <v>150</v>
      </c>
      <c r="T266">
        <v>154.1</v>
      </c>
      <c r="U266" t="s">
        <v>32</v>
      </c>
      <c r="V266">
        <v>144.9</v>
      </c>
      <c r="W266">
        <v>151.69999999999999</v>
      </c>
      <c r="X266">
        <v>158.19999999999999</v>
      </c>
      <c r="Y266">
        <v>141.4</v>
      </c>
      <c r="Z266">
        <v>153.19999999999999</v>
      </c>
      <c r="AA266">
        <v>161.80000000000001</v>
      </c>
      <c r="AB266">
        <v>151.19999999999999</v>
      </c>
      <c r="AC266">
        <v>151.69999999999999</v>
      </c>
      <c r="AD266">
        <v>152.69999999999999</v>
      </c>
    </row>
    <row r="267" spans="1:30" x14ac:dyDescent="0.3">
      <c r="A267" t="s">
        <v>33</v>
      </c>
      <c r="B267">
        <v>2020</v>
      </c>
      <c r="C267" t="s">
        <v>39</v>
      </c>
      <c r="D267">
        <v>152.69999999999999</v>
      </c>
      <c r="E267">
        <v>197</v>
      </c>
      <c r="F267">
        <v>154.6</v>
      </c>
      <c r="G267">
        <v>153.4</v>
      </c>
      <c r="H267">
        <v>132.9</v>
      </c>
      <c r="I267">
        <v>151.80000000000001</v>
      </c>
      <c r="J267">
        <v>171.2</v>
      </c>
      <c r="K267">
        <v>152</v>
      </c>
      <c r="L267">
        <v>116.3</v>
      </c>
      <c r="M267">
        <v>158.80000000000001</v>
      </c>
      <c r="N267">
        <v>135.6</v>
      </c>
      <c r="O267">
        <v>161.69999999999999</v>
      </c>
      <c r="P267">
        <v>157</v>
      </c>
      <c r="Q267">
        <v>186.7</v>
      </c>
      <c r="R267">
        <v>149.1</v>
      </c>
      <c r="S267">
        <v>136.6</v>
      </c>
      <c r="T267">
        <v>147.19999999999999</v>
      </c>
      <c r="U267">
        <v>154.69999999999999</v>
      </c>
      <c r="V267">
        <v>137.1</v>
      </c>
      <c r="W267">
        <v>140.4</v>
      </c>
      <c r="X267">
        <v>148.1</v>
      </c>
      <c r="Y267">
        <v>129.30000000000001</v>
      </c>
      <c r="Z267">
        <v>144.5</v>
      </c>
      <c r="AA267">
        <v>152.5</v>
      </c>
      <c r="AB267">
        <v>152.19999999999999</v>
      </c>
      <c r="AC267">
        <v>142</v>
      </c>
      <c r="AD267">
        <v>150.80000000000001</v>
      </c>
    </row>
    <row r="268" spans="1:30" x14ac:dyDescent="0.3">
      <c r="A268" t="s">
        <v>34</v>
      </c>
      <c r="B268">
        <v>2020</v>
      </c>
      <c r="C268" t="s">
        <v>39</v>
      </c>
      <c r="D268">
        <v>149.6</v>
      </c>
      <c r="E268">
        <v>192.7</v>
      </c>
      <c r="F268">
        <v>151.4</v>
      </c>
      <c r="G268">
        <v>153.30000000000001</v>
      </c>
      <c r="H268">
        <v>136.30000000000001</v>
      </c>
      <c r="I268">
        <v>147.19999999999999</v>
      </c>
      <c r="J268">
        <v>156.5</v>
      </c>
      <c r="K268">
        <v>150.9</v>
      </c>
      <c r="L268">
        <v>114.2</v>
      </c>
      <c r="M268">
        <v>159.5</v>
      </c>
      <c r="N268">
        <v>139.4</v>
      </c>
      <c r="O268">
        <v>161.80000000000001</v>
      </c>
      <c r="P268">
        <v>154</v>
      </c>
      <c r="Q268">
        <v>183.5</v>
      </c>
      <c r="R268">
        <v>152.5</v>
      </c>
      <c r="S268">
        <v>144.4</v>
      </c>
      <c r="T268">
        <v>151.4</v>
      </c>
      <c r="U268">
        <v>154.69999999999999</v>
      </c>
      <c r="V268">
        <v>141.9</v>
      </c>
      <c r="W268">
        <v>146.4</v>
      </c>
      <c r="X268">
        <v>154.4</v>
      </c>
      <c r="Y268">
        <v>135</v>
      </c>
      <c r="Z268">
        <v>148.30000000000001</v>
      </c>
      <c r="AA268">
        <v>156.4</v>
      </c>
      <c r="AB268">
        <v>151.6</v>
      </c>
      <c r="AC268">
        <v>147</v>
      </c>
      <c r="AD268">
        <v>151.80000000000001</v>
      </c>
    </row>
    <row r="269" spans="1:30" x14ac:dyDescent="0.3">
      <c r="A269" t="s">
        <v>30</v>
      </c>
      <c r="B269">
        <v>2020</v>
      </c>
      <c r="C269" t="s">
        <v>40</v>
      </c>
      <c r="D269">
        <v>148.19999999999999</v>
      </c>
      <c r="E269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152.30000000000001</v>
      </c>
      <c r="Q269">
        <v>182.4</v>
      </c>
      <c r="R269">
        <v>154.69999999999999</v>
      </c>
      <c r="S269">
        <v>150</v>
      </c>
      <c r="T269">
        <v>154.1</v>
      </c>
      <c r="U269" t="s">
        <v>32</v>
      </c>
      <c r="V269">
        <v>144.9</v>
      </c>
      <c r="W269">
        <v>151.69999999999999</v>
      </c>
      <c r="X269">
        <v>158.19999999999999</v>
      </c>
      <c r="Y269">
        <v>141.4</v>
      </c>
      <c r="Z269">
        <v>153.19999999999999</v>
      </c>
      <c r="AA269">
        <v>161.80000000000001</v>
      </c>
      <c r="AB269">
        <v>151.19999999999999</v>
      </c>
      <c r="AC269">
        <v>151.69999999999999</v>
      </c>
      <c r="AD269">
        <v>152.69999999999999</v>
      </c>
    </row>
    <row r="270" spans="1:30" x14ac:dyDescent="0.3">
      <c r="A270" t="s">
        <v>33</v>
      </c>
      <c r="B270">
        <v>2020</v>
      </c>
      <c r="C270" t="s">
        <v>40</v>
      </c>
      <c r="D270">
        <v>152.69999999999999</v>
      </c>
      <c r="E270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157</v>
      </c>
      <c r="Q270">
        <v>186.7</v>
      </c>
      <c r="R270">
        <v>149.1</v>
      </c>
      <c r="S270">
        <v>136.6</v>
      </c>
      <c r="T270">
        <v>147.19999999999999</v>
      </c>
      <c r="U270">
        <v>154.69999999999999</v>
      </c>
      <c r="V270">
        <v>137.1</v>
      </c>
      <c r="W270">
        <v>140.4</v>
      </c>
      <c r="X270">
        <v>148.1</v>
      </c>
      <c r="Y270">
        <v>129.30000000000001</v>
      </c>
      <c r="Z270">
        <v>144.5</v>
      </c>
      <c r="AA270">
        <v>152.5</v>
      </c>
      <c r="AB270">
        <v>152.19999999999999</v>
      </c>
      <c r="AC270">
        <v>142</v>
      </c>
      <c r="AD270">
        <v>150.80000000000001</v>
      </c>
    </row>
    <row r="271" spans="1:30" x14ac:dyDescent="0.3">
      <c r="A271" t="s">
        <v>34</v>
      </c>
      <c r="B271">
        <v>2020</v>
      </c>
      <c r="C271" t="s">
        <v>40</v>
      </c>
      <c r="D271">
        <v>149.6</v>
      </c>
      <c r="E271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154</v>
      </c>
      <c r="Q271">
        <v>183.5</v>
      </c>
      <c r="R271">
        <v>152.5</v>
      </c>
      <c r="S271">
        <v>144.4</v>
      </c>
      <c r="T271">
        <v>151.4</v>
      </c>
      <c r="U271">
        <v>154.69999999999999</v>
      </c>
      <c r="V271">
        <v>141.9</v>
      </c>
      <c r="W271">
        <v>146.4</v>
      </c>
      <c r="X271">
        <v>154.4</v>
      </c>
      <c r="Y271">
        <v>135</v>
      </c>
      <c r="Z271">
        <v>148.30000000000001</v>
      </c>
      <c r="AA271">
        <v>156.4</v>
      </c>
      <c r="AB271">
        <v>151.6</v>
      </c>
      <c r="AC271">
        <v>147</v>
      </c>
      <c r="AD271">
        <v>151.80000000000001</v>
      </c>
    </row>
    <row r="272" spans="1:30" x14ac:dyDescent="0.3">
      <c r="A272" t="s">
        <v>30</v>
      </c>
      <c r="B272">
        <v>2020</v>
      </c>
      <c r="C272" t="s">
        <v>41</v>
      </c>
      <c r="D272">
        <v>147.6</v>
      </c>
      <c r="E272">
        <v>187.2</v>
      </c>
      <c r="F272">
        <v>148.4</v>
      </c>
      <c r="G272">
        <v>153.30000000000001</v>
      </c>
      <c r="H272">
        <v>139.80000000000001</v>
      </c>
      <c r="I272">
        <v>146.9</v>
      </c>
      <c r="J272">
        <v>171</v>
      </c>
      <c r="K272">
        <v>149.9</v>
      </c>
      <c r="L272">
        <v>114.2</v>
      </c>
      <c r="M272">
        <v>160</v>
      </c>
      <c r="N272">
        <v>143.5</v>
      </c>
      <c r="O272">
        <v>161.5</v>
      </c>
      <c r="P272">
        <v>155.30000000000001</v>
      </c>
      <c r="Q272">
        <v>180.9</v>
      </c>
      <c r="R272">
        <v>155.1</v>
      </c>
      <c r="S272">
        <v>149.30000000000001</v>
      </c>
      <c r="T272">
        <v>154.30000000000001</v>
      </c>
      <c r="U272" t="s">
        <v>32</v>
      </c>
      <c r="V272">
        <v>145.80000000000001</v>
      </c>
      <c r="W272">
        <v>151.9</v>
      </c>
      <c r="X272">
        <v>158.80000000000001</v>
      </c>
      <c r="Y272">
        <v>143.6</v>
      </c>
      <c r="Z272">
        <v>152.19999999999999</v>
      </c>
      <c r="AA272">
        <v>162.69999999999999</v>
      </c>
      <c r="AB272">
        <v>153.6</v>
      </c>
      <c r="AC272">
        <v>153</v>
      </c>
      <c r="AD272">
        <v>154.69999999999999</v>
      </c>
    </row>
    <row r="273" spans="1:30" x14ac:dyDescent="0.3">
      <c r="A273" t="s">
        <v>33</v>
      </c>
      <c r="B273">
        <v>2020</v>
      </c>
      <c r="C273" t="s">
        <v>41</v>
      </c>
      <c r="D273">
        <v>151.6</v>
      </c>
      <c r="E273">
        <v>197.8</v>
      </c>
      <c r="F273">
        <v>154.5</v>
      </c>
      <c r="G273">
        <v>153.4</v>
      </c>
      <c r="H273">
        <v>133.4</v>
      </c>
      <c r="I273">
        <v>154.5</v>
      </c>
      <c r="J273">
        <v>191.9</v>
      </c>
      <c r="K273">
        <v>151.30000000000001</v>
      </c>
      <c r="L273">
        <v>116.8</v>
      </c>
      <c r="M273">
        <v>160</v>
      </c>
      <c r="N273">
        <v>136.5</v>
      </c>
      <c r="O273">
        <v>163.30000000000001</v>
      </c>
      <c r="P273">
        <v>159.9</v>
      </c>
      <c r="Q273">
        <v>187.2</v>
      </c>
      <c r="R273">
        <v>150</v>
      </c>
      <c r="S273">
        <v>135.19999999999999</v>
      </c>
      <c r="T273">
        <v>147.80000000000001</v>
      </c>
      <c r="U273">
        <v>155.5</v>
      </c>
      <c r="V273">
        <v>138.30000000000001</v>
      </c>
      <c r="W273">
        <v>144.5</v>
      </c>
      <c r="X273">
        <v>148.69999999999999</v>
      </c>
      <c r="Y273">
        <v>133.9</v>
      </c>
      <c r="Z273">
        <v>141.19999999999999</v>
      </c>
      <c r="AA273">
        <v>155.5</v>
      </c>
      <c r="AB273">
        <v>155.19999999999999</v>
      </c>
      <c r="AC273">
        <v>144.80000000000001</v>
      </c>
      <c r="AD273">
        <v>152.9</v>
      </c>
    </row>
    <row r="274" spans="1:30" x14ac:dyDescent="0.3">
      <c r="A274" t="s">
        <v>34</v>
      </c>
      <c r="B274">
        <v>2020</v>
      </c>
      <c r="C274" t="s">
        <v>41</v>
      </c>
      <c r="D274">
        <v>148.9</v>
      </c>
      <c r="E274">
        <v>190.9</v>
      </c>
      <c r="F274">
        <v>150.80000000000001</v>
      </c>
      <c r="G274">
        <v>153.30000000000001</v>
      </c>
      <c r="H274">
        <v>137.4</v>
      </c>
      <c r="I274">
        <v>150.4</v>
      </c>
      <c r="J274">
        <v>178.1</v>
      </c>
      <c r="K274">
        <v>150.4</v>
      </c>
      <c r="L274">
        <v>115.1</v>
      </c>
      <c r="M274">
        <v>160</v>
      </c>
      <c r="N274">
        <v>140.6</v>
      </c>
      <c r="O274">
        <v>162.30000000000001</v>
      </c>
      <c r="P274">
        <v>157</v>
      </c>
      <c r="Q274">
        <v>182.6</v>
      </c>
      <c r="R274">
        <v>153.1</v>
      </c>
      <c r="S274">
        <v>143.4</v>
      </c>
      <c r="T274">
        <v>151.69999999999999</v>
      </c>
      <c r="U274">
        <v>155.5</v>
      </c>
      <c r="V274">
        <v>143</v>
      </c>
      <c r="W274">
        <v>148.4</v>
      </c>
      <c r="X274">
        <v>155</v>
      </c>
      <c r="Y274">
        <v>138.5</v>
      </c>
      <c r="Z274">
        <v>146</v>
      </c>
      <c r="AA274">
        <v>158.5</v>
      </c>
      <c r="AB274">
        <v>154.30000000000001</v>
      </c>
      <c r="AC274">
        <v>149</v>
      </c>
      <c r="AD274">
        <v>153.9</v>
      </c>
    </row>
    <row r="275" spans="1:30" x14ac:dyDescent="0.3">
      <c r="A275" t="s">
        <v>30</v>
      </c>
      <c r="B275">
        <v>2020</v>
      </c>
      <c r="C275" t="s">
        <v>42</v>
      </c>
      <c r="D275">
        <v>146.9</v>
      </c>
      <c r="E275">
        <v>183.9</v>
      </c>
      <c r="F275">
        <v>149.5</v>
      </c>
      <c r="G275">
        <v>153.4</v>
      </c>
      <c r="H275">
        <v>140.4</v>
      </c>
      <c r="I275">
        <v>147</v>
      </c>
      <c r="J275">
        <v>178.8</v>
      </c>
      <c r="K275">
        <v>149.30000000000001</v>
      </c>
      <c r="L275">
        <v>115.1</v>
      </c>
      <c r="M275">
        <v>160</v>
      </c>
      <c r="N275">
        <v>145.4</v>
      </c>
      <c r="O275">
        <v>161.6</v>
      </c>
      <c r="P275">
        <v>156.1</v>
      </c>
      <c r="Q275">
        <v>182.9</v>
      </c>
      <c r="R275">
        <v>155.4</v>
      </c>
      <c r="S275">
        <v>149.9</v>
      </c>
      <c r="T275">
        <v>154.6</v>
      </c>
      <c r="U275" t="s">
        <v>32</v>
      </c>
      <c r="V275">
        <v>146.4</v>
      </c>
      <c r="W275">
        <v>151.6</v>
      </c>
      <c r="X275">
        <v>159.1</v>
      </c>
      <c r="Y275">
        <v>144.6</v>
      </c>
      <c r="Z275">
        <v>152.80000000000001</v>
      </c>
      <c r="AA275">
        <v>161.1</v>
      </c>
      <c r="AB275">
        <v>157.4</v>
      </c>
      <c r="AC275">
        <v>153.69999999999999</v>
      </c>
      <c r="AD275">
        <v>155.4</v>
      </c>
    </row>
    <row r="276" spans="1:30" x14ac:dyDescent="0.3">
      <c r="A276" t="s">
        <v>33</v>
      </c>
      <c r="B276">
        <v>2020</v>
      </c>
      <c r="C276" t="s">
        <v>42</v>
      </c>
      <c r="D276">
        <v>151.5</v>
      </c>
      <c r="E276">
        <v>193.1</v>
      </c>
      <c r="F276">
        <v>157.30000000000001</v>
      </c>
      <c r="G276">
        <v>153.9</v>
      </c>
      <c r="H276">
        <v>134.4</v>
      </c>
      <c r="I276">
        <v>155.4</v>
      </c>
      <c r="J276">
        <v>202</v>
      </c>
      <c r="K276">
        <v>150.80000000000001</v>
      </c>
      <c r="L276">
        <v>118.9</v>
      </c>
      <c r="M276">
        <v>160.9</v>
      </c>
      <c r="N276">
        <v>137.69999999999999</v>
      </c>
      <c r="O276">
        <v>164.4</v>
      </c>
      <c r="P276">
        <v>161.30000000000001</v>
      </c>
      <c r="Q276">
        <v>188.7</v>
      </c>
      <c r="R276">
        <v>150.19999999999999</v>
      </c>
      <c r="S276">
        <v>136.30000000000001</v>
      </c>
      <c r="T276">
        <v>148.1</v>
      </c>
      <c r="U276">
        <v>156.30000000000001</v>
      </c>
      <c r="V276">
        <v>137.19999999999999</v>
      </c>
      <c r="W276">
        <v>145.4</v>
      </c>
      <c r="X276">
        <v>150</v>
      </c>
      <c r="Y276">
        <v>135.1</v>
      </c>
      <c r="Z276">
        <v>141.80000000000001</v>
      </c>
      <c r="AA276">
        <v>154.9</v>
      </c>
      <c r="AB276">
        <v>159.80000000000001</v>
      </c>
      <c r="AC276">
        <v>146</v>
      </c>
      <c r="AD276">
        <v>154</v>
      </c>
    </row>
    <row r="277" spans="1:30" x14ac:dyDescent="0.3">
      <c r="A277" t="s">
        <v>34</v>
      </c>
      <c r="B277">
        <v>2020</v>
      </c>
      <c r="C277" t="s">
        <v>42</v>
      </c>
      <c r="D277">
        <v>148.4</v>
      </c>
      <c r="E277">
        <v>187.1</v>
      </c>
      <c r="F277">
        <v>152.5</v>
      </c>
      <c r="G277">
        <v>153.6</v>
      </c>
      <c r="H277">
        <v>138.19999999999999</v>
      </c>
      <c r="I277">
        <v>150.9</v>
      </c>
      <c r="J277">
        <v>186.7</v>
      </c>
      <c r="K277">
        <v>149.80000000000001</v>
      </c>
      <c r="L277">
        <v>116.4</v>
      </c>
      <c r="M277">
        <v>160.30000000000001</v>
      </c>
      <c r="N277">
        <v>142.19999999999999</v>
      </c>
      <c r="O277">
        <v>162.9</v>
      </c>
      <c r="P277">
        <v>158</v>
      </c>
      <c r="Q277">
        <v>184.4</v>
      </c>
      <c r="R277">
        <v>153.4</v>
      </c>
      <c r="S277">
        <v>144.30000000000001</v>
      </c>
      <c r="T277">
        <v>152</v>
      </c>
      <c r="U277">
        <v>156.30000000000001</v>
      </c>
      <c r="V277">
        <v>142.9</v>
      </c>
      <c r="W277">
        <v>148.69999999999999</v>
      </c>
      <c r="X277">
        <v>155.6</v>
      </c>
      <c r="Y277">
        <v>139.6</v>
      </c>
      <c r="Z277">
        <v>146.6</v>
      </c>
      <c r="AA277">
        <v>157.5</v>
      </c>
      <c r="AB277">
        <v>158.4</v>
      </c>
      <c r="AC277">
        <v>150</v>
      </c>
      <c r="AD277">
        <v>154.69999999999999</v>
      </c>
    </row>
    <row r="278" spans="1:30" x14ac:dyDescent="0.3">
      <c r="A278" t="s">
        <v>30</v>
      </c>
      <c r="B278">
        <v>2020</v>
      </c>
      <c r="C278" t="s">
        <v>43</v>
      </c>
      <c r="D278">
        <v>146</v>
      </c>
      <c r="E278">
        <v>186.3</v>
      </c>
      <c r="F278">
        <v>159.19999999999999</v>
      </c>
      <c r="G278">
        <v>153.6</v>
      </c>
      <c r="H278">
        <v>142.6</v>
      </c>
      <c r="I278">
        <v>147.19999999999999</v>
      </c>
      <c r="J278">
        <v>200.6</v>
      </c>
      <c r="K278">
        <v>150.30000000000001</v>
      </c>
      <c r="L278">
        <v>115.3</v>
      </c>
      <c r="M278">
        <v>160.9</v>
      </c>
      <c r="N278">
        <v>147.4</v>
      </c>
      <c r="O278">
        <v>161.9</v>
      </c>
      <c r="P278">
        <v>159.6</v>
      </c>
      <c r="Q278">
        <v>182.7</v>
      </c>
      <c r="R278">
        <v>155.69999999999999</v>
      </c>
      <c r="S278">
        <v>150.6</v>
      </c>
      <c r="T278">
        <v>155</v>
      </c>
      <c r="U278" t="s">
        <v>32</v>
      </c>
      <c r="V278">
        <v>146.80000000000001</v>
      </c>
      <c r="W278">
        <v>152</v>
      </c>
      <c r="X278">
        <v>159.5</v>
      </c>
      <c r="Y278">
        <v>146.4</v>
      </c>
      <c r="Z278">
        <v>152.4</v>
      </c>
      <c r="AA278">
        <v>162.5</v>
      </c>
      <c r="AB278">
        <v>156.19999999999999</v>
      </c>
      <c r="AC278">
        <v>154.30000000000001</v>
      </c>
      <c r="AD278">
        <v>157.5</v>
      </c>
    </row>
    <row r="279" spans="1:30" x14ac:dyDescent="0.3">
      <c r="A279" t="s">
        <v>33</v>
      </c>
      <c r="B279">
        <v>2020</v>
      </c>
      <c r="C279" t="s">
        <v>43</v>
      </c>
      <c r="D279">
        <v>150.6</v>
      </c>
      <c r="E279">
        <v>193.7</v>
      </c>
      <c r="F279">
        <v>164.8</v>
      </c>
      <c r="G279">
        <v>153.69999999999999</v>
      </c>
      <c r="H279">
        <v>135.69999999999999</v>
      </c>
      <c r="I279">
        <v>155.69999999999999</v>
      </c>
      <c r="J279">
        <v>226</v>
      </c>
      <c r="K279">
        <v>152.19999999999999</v>
      </c>
      <c r="L279">
        <v>118.1</v>
      </c>
      <c r="M279">
        <v>161.30000000000001</v>
      </c>
      <c r="N279">
        <v>139.19999999999999</v>
      </c>
      <c r="O279">
        <v>164.8</v>
      </c>
      <c r="P279">
        <v>164.4</v>
      </c>
      <c r="Q279">
        <v>188.7</v>
      </c>
      <c r="R279">
        <v>150.5</v>
      </c>
      <c r="S279">
        <v>136.1</v>
      </c>
      <c r="T279">
        <v>148.30000000000001</v>
      </c>
      <c r="U279">
        <v>156.5</v>
      </c>
      <c r="V279">
        <v>137.1</v>
      </c>
      <c r="W279">
        <v>145.1</v>
      </c>
      <c r="X279">
        <v>151</v>
      </c>
      <c r="Y279">
        <v>135.4</v>
      </c>
      <c r="Z279">
        <v>142</v>
      </c>
      <c r="AA279">
        <v>155.69999999999999</v>
      </c>
      <c r="AB279">
        <v>158.1</v>
      </c>
      <c r="AC279">
        <v>146.19999999999999</v>
      </c>
      <c r="AD279">
        <v>155.19999999999999</v>
      </c>
    </row>
    <row r="280" spans="1:30" x14ac:dyDescent="0.3">
      <c r="A280" t="s">
        <v>34</v>
      </c>
      <c r="B280">
        <v>2020</v>
      </c>
      <c r="C280" t="s">
        <v>43</v>
      </c>
      <c r="D280">
        <v>147.5</v>
      </c>
      <c r="E280">
        <v>188.9</v>
      </c>
      <c r="F280">
        <v>161.4</v>
      </c>
      <c r="G280">
        <v>153.6</v>
      </c>
      <c r="H280">
        <v>140.1</v>
      </c>
      <c r="I280">
        <v>151.19999999999999</v>
      </c>
      <c r="J280">
        <v>209.2</v>
      </c>
      <c r="K280">
        <v>150.9</v>
      </c>
      <c r="L280">
        <v>116.2</v>
      </c>
      <c r="M280">
        <v>161</v>
      </c>
      <c r="N280">
        <v>144</v>
      </c>
      <c r="O280">
        <v>163.19999999999999</v>
      </c>
      <c r="P280">
        <v>161.4</v>
      </c>
      <c r="Q280">
        <v>184.3</v>
      </c>
      <c r="R280">
        <v>153.69999999999999</v>
      </c>
      <c r="S280">
        <v>144.6</v>
      </c>
      <c r="T280">
        <v>152.30000000000001</v>
      </c>
      <c r="U280">
        <v>156.5</v>
      </c>
      <c r="V280">
        <v>143.1</v>
      </c>
      <c r="W280">
        <v>148.69999999999999</v>
      </c>
      <c r="X280">
        <v>156.30000000000001</v>
      </c>
      <c r="Y280">
        <v>140.6</v>
      </c>
      <c r="Z280">
        <v>146.5</v>
      </c>
      <c r="AA280">
        <v>158.5</v>
      </c>
      <c r="AB280">
        <v>157</v>
      </c>
      <c r="AC280">
        <v>150.4</v>
      </c>
      <c r="AD280">
        <v>156.4</v>
      </c>
    </row>
    <row r="281" spans="1:30" x14ac:dyDescent="0.3">
      <c r="A281" t="s">
        <v>30</v>
      </c>
      <c r="B281">
        <v>2020</v>
      </c>
      <c r="C281" t="s">
        <v>45</v>
      </c>
      <c r="D281">
        <v>145.4</v>
      </c>
      <c r="E281">
        <v>188.6</v>
      </c>
      <c r="F281">
        <v>171.6</v>
      </c>
      <c r="G281">
        <v>153.80000000000001</v>
      </c>
      <c r="H281">
        <v>145.4</v>
      </c>
      <c r="I281">
        <v>146.5</v>
      </c>
      <c r="J281">
        <v>222.2</v>
      </c>
      <c r="K281">
        <v>155.9</v>
      </c>
      <c r="L281">
        <v>114.9</v>
      </c>
      <c r="M281">
        <v>162</v>
      </c>
      <c r="N281">
        <v>150</v>
      </c>
      <c r="O281">
        <v>162.69999999999999</v>
      </c>
      <c r="P281">
        <v>163.4</v>
      </c>
      <c r="Q281">
        <v>183.4</v>
      </c>
      <c r="R281">
        <v>156.30000000000001</v>
      </c>
      <c r="S281">
        <v>151</v>
      </c>
      <c r="T281">
        <v>155.5</v>
      </c>
      <c r="U281" t="s">
        <v>32</v>
      </c>
      <c r="V281">
        <v>147.5</v>
      </c>
      <c r="W281">
        <v>152.80000000000001</v>
      </c>
      <c r="X281">
        <v>160.4</v>
      </c>
      <c r="Y281">
        <v>146.1</v>
      </c>
      <c r="Z281">
        <v>153.6</v>
      </c>
      <c r="AA281">
        <v>161.6</v>
      </c>
      <c r="AB281">
        <v>156.19999999999999</v>
      </c>
      <c r="AC281">
        <v>154.5</v>
      </c>
      <c r="AD281">
        <v>159.80000000000001</v>
      </c>
    </row>
    <row r="282" spans="1:30" x14ac:dyDescent="0.3">
      <c r="A282" t="s">
        <v>33</v>
      </c>
      <c r="B282">
        <v>2020</v>
      </c>
      <c r="C282" t="s">
        <v>45</v>
      </c>
      <c r="D282">
        <v>149.69999999999999</v>
      </c>
      <c r="E282">
        <v>195.5</v>
      </c>
      <c r="F282">
        <v>176.9</v>
      </c>
      <c r="G282">
        <v>153.9</v>
      </c>
      <c r="H282">
        <v>138</v>
      </c>
      <c r="I282">
        <v>150.5</v>
      </c>
      <c r="J282">
        <v>245.3</v>
      </c>
      <c r="K282">
        <v>158.69999999999999</v>
      </c>
      <c r="L282">
        <v>117.2</v>
      </c>
      <c r="M282">
        <v>161.4</v>
      </c>
      <c r="N282">
        <v>141.5</v>
      </c>
      <c r="O282">
        <v>165.1</v>
      </c>
      <c r="P282">
        <v>167</v>
      </c>
      <c r="Q282">
        <v>188.8</v>
      </c>
      <c r="R282">
        <v>151.1</v>
      </c>
      <c r="S282">
        <v>136.4</v>
      </c>
      <c r="T282">
        <v>148.80000000000001</v>
      </c>
      <c r="U282">
        <v>158</v>
      </c>
      <c r="V282">
        <v>137.30000000000001</v>
      </c>
      <c r="W282">
        <v>145.1</v>
      </c>
      <c r="X282">
        <v>152</v>
      </c>
      <c r="Y282">
        <v>135.19999999999999</v>
      </c>
      <c r="Z282">
        <v>144.4</v>
      </c>
      <c r="AA282">
        <v>156.4</v>
      </c>
      <c r="AB282">
        <v>157.9</v>
      </c>
      <c r="AC282">
        <v>146.6</v>
      </c>
      <c r="AD282">
        <v>156.69999999999999</v>
      </c>
    </row>
    <row r="283" spans="1:30" x14ac:dyDescent="0.3">
      <c r="A283" t="s">
        <v>34</v>
      </c>
      <c r="B283">
        <v>2020</v>
      </c>
      <c r="C283" t="s">
        <v>45</v>
      </c>
      <c r="D283">
        <v>146.80000000000001</v>
      </c>
      <c r="E283">
        <v>191</v>
      </c>
      <c r="F283">
        <v>173.6</v>
      </c>
      <c r="G283">
        <v>153.80000000000001</v>
      </c>
      <c r="H283">
        <v>142.69999999999999</v>
      </c>
      <c r="I283">
        <v>148.4</v>
      </c>
      <c r="J283">
        <v>230</v>
      </c>
      <c r="K283">
        <v>156.80000000000001</v>
      </c>
      <c r="L283">
        <v>115.7</v>
      </c>
      <c r="M283">
        <v>161.80000000000001</v>
      </c>
      <c r="N283">
        <v>146.5</v>
      </c>
      <c r="O283">
        <v>163.80000000000001</v>
      </c>
      <c r="P283">
        <v>164.7</v>
      </c>
      <c r="Q283">
        <v>184.8</v>
      </c>
      <c r="R283">
        <v>154.30000000000001</v>
      </c>
      <c r="S283">
        <v>144.9</v>
      </c>
      <c r="T283">
        <v>152.80000000000001</v>
      </c>
      <c r="U283">
        <v>158</v>
      </c>
      <c r="V283">
        <v>143.6</v>
      </c>
      <c r="W283">
        <v>149.19999999999999</v>
      </c>
      <c r="X283">
        <v>157.19999999999999</v>
      </c>
      <c r="Y283">
        <v>140.4</v>
      </c>
      <c r="Z283">
        <v>148.4</v>
      </c>
      <c r="AA283">
        <v>158.6</v>
      </c>
      <c r="AB283">
        <v>156.9</v>
      </c>
      <c r="AC283">
        <v>150.69999999999999</v>
      </c>
      <c r="AD283">
        <v>158.4</v>
      </c>
    </row>
    <row r="284" spans="1:30" x14ac:dyDescent="0.3">
      <c r="A284" t="s">
        <v>30</v>
      </c>
      <c r="B284">
        <v>2020</v>
      </c>
      <c r="C284" t="s">
        <v>46</v>
      </c>
      <c r="D284">
        <v>144.6</v>
      </c>
      <c r="E284">
        <v>188.5</v>
      </c>
      <c r="F284">
        <v>173.4</v>
      </c>
      <c r="G284">
        <v>154</v>
      </c>
      <c r="H284">
        <v>150</v>
      </c>
      <c r="I284">
        <v>145.9</v>
      </c>
      <c r="J284">
        <v>225.2</v>
      </c>
      <c r="K284">
        <v>159.5</v>
      </c>
      <c r="L284">
        <v>114.4</v>
      </c>
      <c r="M284">
        <v>163.5</v>
      </c>
      <c r="N284">
        <v>153.4</v>
      </c>
      <c r="O284">
        <v>163.6</v>
      </c>
      <c r="P284">
        <v>164.5</v>
      </c>
      <c r="Q284">
        <v>183.6</v>
      </c>
      <c r="R284">
        <v>157</v>
      </c>
      <c r="S284">
        <v>151.6</v>
      </c>
      <c r="T284">
        <v>156.30000000000001</v>
      </c>
      <c r="U284" t="s">
        <v>32</v>
      </c>
      <c r="V284">
        <v>148.69999999999999</v>
      </c>
      <c r="W284">
        <v>153.4</v>
      </c>
      <c r="X284">
        <v>161.6</v>
      </c>
      <c r="Y284">
        <v>146.4</v>
      </c>
      <c r="Z284">
        <v>153.9</v>
      </c>
      <c r="AA284">
        <v>162.9</v>
      </c>
      <c r="AB284">
        <v>156.6</v>
      </c>
      <c r="AC284">
        <v>155.19999999999999</v>
      </c>
      <c r="AD284">
        <v>160.69999999999999</v>
      </c>
    </row>
    <row r="285" spans="1:30" x14ac:dyDescent="0.3">
      <c r="A285" t="s">
        <v>33</v>
      </c>
      <c r="B285">
        <v>2020</v>
      </c>
      <c r="C285" t="s">
        <v>46</v>
      </c>
      <c r="D285">
        <v>149</v>
      </c>
      <c r="E285">
        <v>195.7</v>
      </c>
      <c r="F285">
        <v>178.3</v>
      </c>
      <c r="G285">
        <v>154.19999999999999</v>
      </c>
      <c r="H285">
        <v>140.69999999999999</v>
      </c>
      <c r="I285">
        <v>149.69999999999999</v>
      </c>
      <c r="J285">
        <v>240.9</v>
      </c>
      <c r="K285">
        <v>161.5</v>
      </c>
      <c r="L285">
        <v>117.1</v>
      </c>
      <c r="M285">
        <v>161.9</v>
      </c>
      <c r="N285">
        <v>143.30000000000001</v>
      </c>
      <c r="O285">
        <v>166.1</v>
      </c>
      <c r="P285">
        <v>167</v>
      </c>
      <c r="Q285">
        <v>190.2</v>
      </c>
      <c r="R285">
        <v>151.9</v>
      </c>
      <c r="S285">
        <v>136.69999999999999</v>
      </c>
      <c r="T285">
        <v>149.6</v>
      </c>
      <c r="U285">
        <v>158.4</v>
      </c>
      <c r="V285">
        <v>137.9</v>
      </c>
      <c r="W285">
        <v>145.5</v>
      </c>
      <c r="X285">
        <v>152.9</v>
      </c>
      <c r="Y285">
        <v>135.5</v>
      </c>
      <c r="Z285">
        <v>144.30000000000001</v>
      </c>
      <c r="AA285">
        <v>156.9</v>
      </c>
      <c r="AB285">
        <v>157.9</v>
      </c>
      <c r="AC285">
        <v>146.9</v>
      </c>
      <c r="AD285">
        <v>156.9</v>
      </c>
    </row>
    <row r="286" spans="1:30" x14ac:dyDescent="0.3">
      <c r="A286" t="s">
        <v>34</v>
      </c>
      <c r="B286">
        <v>2020</v>
      </c>
      <c r="C286" t="s">
        <v>46</v>
      </c>
      <c r="D286">
        <v>146</v>
      </c>
      <c r="E286">
        <v>191</v>
      </c>
      <c r="F286">
        <v>175.3</v>
      </c>
      <c r="G286">
        <v>154.1</v>
      </c>
      <c r="H286">
        <v>146.6</v>
      </c>
      <c r="I286">
        <v>147.69999999999999</v>
      </c>
      <c r="J286">
        <v>230.5</v>
      </c>
      <c r="K286">
        <v>160.19999999999999</v>
      </c>
      <c r="L286">
        <v>115.3</v>
      </c>
      <c r="M286">
        <v>163</v>
      </c>
      <c r="N286">
        <v>149.19999999999999</v>
      </c>
      <c r="O286">
        <v>164.8</v>
      </c>
      <c r="P286">
        <v>165.4</v>
      </c>
      <c r="Q286">
        <v>185.4</v>
      </c>
      <c r="R286">
        <v>155</v>
      </c>
      <c r="S286">
        <v>145.4</v>
      </c>
      <c r="T286">
        <v>153.6</v>
      </c>
      <c r="U286">
        <v>158.4</v>
      </c>
      <c r="V286">
        <v>144.6</v>
      </c>
      <c r="W286">
        <v>149.69999999999999</v>
      </c>
      <c r="X286">
        <v>158.30000000000001</v>
      </c>
      <c r="Y286">
        <v>140.69999999999999</v>
      </c>
      <c r="Z286">
        <v>148.5</v>
      </c>
      <c r="AA286">
        <v>159.4</v>
      </c>
      <c r="AB286">
        <v>157.1</v>
      </c>
      <c r="AC286">
        <v>151.19999999999999</v>
      </c>
      <c r="AD286">
        <v>158.9</v>
      </c>
    </row>
    <row r="287" spans="1:30" x14ac:dyDescent="0.3">
      <c r="A287" t="s">
        <v>30</v>
      </c>
      <c r="B287">
        <v>2021</v>
      </c>
      <c r="C287" t="s">
        <v>31</v>
      </c>
      <c r="D287">
        <v>143.4</v>
      </c>
      <c r="E287">
        <v>187.5</v>
      </c>
      <c r="F287">
        <v>173.4</v>
      </c>
      <c r="G287">
        <v>154</v>
      </c>
      <c r="H287">
        <v>154.80000000000001</v>
      </c>
      <c r="I287">
        <v>147</v>
      </c>
      <c r="J287">
        <v>187.8</v>
      </c>
      <c r="K287">
        <v>159.5</v>
      </c>
      <c r="L287">
        <v>113.8</v>
      </c>
      <c r="M287">
        <v>164.5</v>
      </c>
      <c r="N287">
        <v>156.1</v>
      </c>
      <c r="O287">
        <v>164.3</v>
      </c>
      <c r="P287">
        <v>159.6</v>
      </c>
      <c r="Q287">
        <v>184.6</v>
      </c>
      <c r="R287">
        <v>157.5</v>
      </c>
      <c r="S287">
        <v>152.4</v>
      </c>
      <c r="T287">
        <v>156.80000000000001</v>
      </c>
      <c r="U287" t="s">
        <v>32</v>
      </c>
      <c r="V287">
        <v>150.9</v>
      </c>
      <c r="W287">
        <v>153.9</v>
      </c>
      <c r="X287">
        <v>162.5</v>
      </c>
      <c r="Y287">
        <v>147.5</v>
      </c>
      <c r="Z287">
        <v>155.1</v>
      </c>
      <c r="AA287">
        <v>163.5</v>
      </c>
      <c r="AB287">
        <v>156.19999999999999</v>
      </c>
      <c r="AC287">
        <v>155.9</v>
      </c>
      <c r="AD287">
        <v>158.5</v>
      </c>
    </row>
    <row r="288" spans="1:30" x14ac:dyDescent="0.3">
      <c r="A288" t="s">
        <v>33</v>
      </c>
      <c r="B288">
        <v>2021</v>
      </c>
      <c r="C288" t="s">
        <v>31</v>
      </c>
      <c r="D288">
        <v>148</v>
      </c>
      <c r="E288">
        <v>194.8</v>
      </c>
      <c r="F288">
        <v>178.4</v>
      </c>
      <c r="G288">
        <v>154.4</v>
      </c>
      <c r="H288">
        <v>144.1</v>
      </c>
      <c r="I288">
        <v>152.6</v>
      </c>
      <c r="J288">
        <v>206.8</v>
      </c>
      <c r="K288">
        <v>162.1</v>
      </c>
      <c r="L288">
        <v>116.3</v>
      </c>
      <c r="M288">
        <v>163</v>
      </c>
      <c r="N288">
        <v>145.9</v>
      </c>
      <c r="O288">
        <v>167.2</v>
      </c>
      <c r="P288">
        <v>163.4</v>
      </c>
      <c r="Q288">
        <v>191.8</v>
      </c>
      <c r="R288">
        <v>152.5</v>
      </c>
      <c r="S288">
        <v>137.30000000000001</v>
      </c>
      <c r="T288">
        <v>150.19999999999999</v>
      </c>
      <c r="U288">
        <v>157.69999999999999</v>
      </c>
      <c r="V288">
        <v>142.9</v>
      </c>
      <c r="W288">
        <v>145.69999999999999</v>
      </c>
      <c r="X288">
        <v>154.1</v>
      </c>
      <c r="Y288">
        <v>136.9</v>
      </c>
      <c r="Z288">
        <v>145.4</v>
      </c>
      <c r="AA288">
        <v>156.1</v>
      </c>
      <c r="AB288">
        <v>157.69999999999999</v>
      </c>
      <c r="AC288">
        <v>147.6</v>
      </c>
      <c r="AD288">
        <v>156</v>
      </c>
    </row>
    <row r="289" spans="1:30" x14ac:dyDescent="0.3">
      <c r="A289" t="s">
        <v>34</v>
      </c>
      <c r="B289">
        <v>2021</v>
      </c>
      <c r="C289" t="s">
        <v>31</v>
      </c>
      <c r="D289">
        <v>144.9</v>
      </c>
      <c r="E289">
        <v>190.1</v>
      </c>
      <c r="F289">
        <v>175.3</v>
      </c>
      <c r="G289">
        <v>154.1</v>
      </c>
      <c r="H289">
        <v>150.9</v>
      </c>
      <c r="I289">
        <v>149.6</v>
      </c>
      <c r="J289">
        <v>194.2</v>
      </c>
      <c r="K289">
        <v>160.4</v>
      </c>
      <c r="L289">
        <v>114.6</v>
      </c>
      <c r="M289">
        <v>164</v>
      </c>
      <c r="N289">
        <v>151.80000000000001</v>
      </c>
      <c r="O289">
        <v>165.6</v>
      </c>
      <c r="P289">
        <v>161</v>
      </c>
      <c r="Q289">
        <v>186.5</v>
      </c>
      <c r="R289">
        <v>155.5</v>
      </c>
      <c r="S289">
        <v>146.1</v>
      </c>
      <c r="T289">
        <v>154.19999999999999</v>
      </c>
      <c r="U289">
        <v>157.69999999999999</v>
      </c>
      <c r="V289">
        <v>147.9</v>
      </c>
      <c r="W289">
        <v>150</v>
      </c>
      <c r="X289">
        <v>159.30000000000001</v>
      </c>
      <c r="Y289">
        <v>141.9</v>
      </c>
      <c r="Z289">
        <v>149.6</v>
      </c>
      <c r="AA289">
        <v>159.19999999999999</v>
      </c>
      <c r="AB289">
        <v>156.80000000000001</v>
      </c>
      <c r="AC289">
        <v>151.9</v>
      </c>
      <c r="AD289">
        <v>157.30000000000001</v>
      </c>
    </row>
    <row r="290" spans="1:30" x14ac:dyDescent="0.3">
      <c r="A290" t="s">
        <v>30</v>
      </c>
      <c r="B290">
        <v>2021</v>
      </c>
      <c r="C290" t="s">
        <v>35</v>
      </c>
      <c r="D290">
        <v>142.80000000000001</v>
      </c>
      <c r="E290">
        <v>184</v>
      </c>
      <c r="F290">
        <v>168</v>
      </c>
      <c r="G290">
        <v>154.4</v>
      </c>
      <c r="H290">
        <v>163</v>
      </c>
      <c r="I290">
        <v>147.80000000000001</v>
      </c>
      <c r="J290">
        <v>149.69999999999999</v>
      </c>
      <c r="K290">
        <v>158.30000000000001</v>
      </c>
      <c r="L290">
        <v>111.8</v>
      </c>
      <c r="M290">
        <v>165</v>
      </c>
      <c r="N290">
        <v>160</v>
      </c>
      <c r="O290">
        <v>165.8</v>
      </c>
      <c r="P290">
        <v>154.69999999999999</v>
      </c>
      <c r="Q290">
        <v>186.5</v>
      </c>
      <c r="R290">
        <v>159.1</v>
      </c>
      <c r="S290">
        <v>153.9</v>
      </c>
      <c r="T290">
        <v>158.4</v>
      </c>
      <c r="U290" t="s">
        <v>32</v>
      </c>
      <c r="V290">
        <v>154.4</v>
      </c>
      <c r="W290">
        <v>154.80000000000001</v>
      </c>
      <c r="X290">
        <v>164.3</v>
      </c>
      <c r="Y290">
        <v>150.19999999999999</v>
      </c>
      <c r="Z290">
        <v>157</v>
      </c>
      <c r="AA290">
        <v>163.6</v>
      </c>
      <c r="AB290">
        <v>155.19999999999999</v>
      </c>
      <c r="AC290">
        <v>157.19999999999999</v>
      </c>
      <c r="AD290">
        <v>156.69999999999999</v>
      </c>
    </row>
    <row r="291" spans="1:30" x14ac:dyDescent="0.3">
      <c r="A291" t="s">
        <v>33</v>
      </c>
      <c r="B291">
        <v>2021</v>
      </c>
      <c r="C291" t="s">
        <v>35</v>
      </c>
      <c r="D291">
        <v>147.6</v>
      </c>
      <c r="E291">
        <v>191.2</v>
      </c>
      <c r="F291">
        <v>169.9</v>
      </c>
      <c r="G291">
        <v>155.1</v>
      </c>
      <c r="H291">
        <v>151.4</v>
      </c>
      <c r="I291">
        <v>154</v>
      </c>
      <c r="J291">
        <v>180.2</v>
      </c>
      <c r="K291">
        <v>159.80000000000001</v>
      </c>
      <c r="L291">
        <v>114.9</v>
      </c>
      <c r="M291">
        <v>162.5</v>
      </c>
      <c r="N291">
        <v>149.19999999999999</v>
      </c>
      <c r="O291">
        <v>169.4</v>
      </c>
      <c r="P291">
        <v>160.80000000000001</v>
      </c>
      <c r="Q291">
        <v>193.3</v>
      </c>
      <c r="R291">
        <v>154.19999999999999</v>
      </c>
      <c r="S291">
        <v>138.19999999999999</v>
      </c>
      <c r="T291">
        <v>151.80000000000001</v>
      </c>
      <c r="U291">
        <v>159.80000000000001</v>
      </c>
      <c r="V291">
        <v>149.1</v>
      </c>
      <c r="W291">
        <v>146.5</v>
      </c>
      <c r="X291">
        <v>156.30000000000001</v>
      </c>
      <c r="Y291">
        <v>140.5</v>
      </c>
      <c r="Z291">
        <v>147.30000000000001</v>
      </c>
      <c r="AA291">
        <v>156.6</v>
      </c>
      <c r="AB291">
        <v>156.69999999999999</v>
      </c>
      <c r="AC291">
        <v>149.30000000000001</v>
      </c>
      <c r="AD291">
        <v>156.5</v>
      </c>
    </row>
    <row r="292" spans="1:30" x14ac:dyDescent="0.3">
      <c r="A292" t="s">
        <v>34</v>
      </c>
      <c r="B292">
        <v>2021</v>
      </c>
      <c r="C292" t="s">
        <v>35</v>
      </c>
      <c r="D292">
        <v>144.30000000000001</v>
      </c>
      <c r="E292">
        <v>186.5</v>
      </c>
      <c r="F292">
        <v>168.7</v>
      </c>
      <c r="G292">
        <v>154.69999999999999</v>
      </c>
      <c r="H292">
        <v>158.69999999999999</v>
      </c>
      <c r="I292">
        <v>150.69999999999999</v>
      </c>
      <c r="J292">
        <v>160</v>
      </c>
      <c r="K292">
        <v>158.80000000000001</v>
      </c>
      <c r="L292">
        <v>112.8</v>
      </c>
      <c r="M292">
        <v>164.2</v>
      </c>
      <c r="N292">
        <v>155.5</v>
      </c>
      <c r="O292">
        <v>167.5</v>
      </c>
      <c r="P292">
        <v>156.9</v>
      </c>
      <c r="Q292">
        <v>188.3</v>
      </c>
      <c r="R292">
        <v>157.19999999999999</v>
      </c>
      <c r="S292">
        <v>147.4</v>
      </c>
      <c r="T292">
        <v>155.80000000000001</v>
      </c>
      <c r="U292">
        <v>159.80000000000001</v>
      </c>
      <c r="V292">
        <v>152.4</v>
      </c>
      <c r="W292">
        <v>150.9</v>
      </c>
      <c r="X292">
        <v>161.30000000000001</v>
      </c>
      <c r="Y292">
        <v>145.1</v>
      </c>
      <c r="Z292">
        <v>151.5</v>
      </c>
      <c r="AA292">
        <v>159.5</v>
      </c>
      <c r="AB292">
        <v>155.80000000000001</v>
      </c>
      <c r="AC292">
        <v>153.4</v>
      </c>
      <c r="AD292">
        <v>156.6</v>
      </c>
    </row>
    <row r="293" spans="1:30" x14ac:dyDescent="0.3">
      <c r="A293" t="s">
        <v>30</v>
      </c>
      <c r="B293">
        <v>2021</v>
      </c>
      <c r="C293" t="s">
        <v>36</v>
      </c>
      <c r="D293">
        <v>142.5</v>
      </c>
      <c r="E293">
        <v>189.4</v>
      </c>
      <c r="F293">
        <v>163.19999999999999</v>
      </c>
      <c r="G293">
        <v>154.5</v>
      </c>
      <c r="H293">
        <v>168.2</v>
      </c>
      <c r="I293">
        <v>150.5</v>
      </c>
      <c r="J293">
        <v>141</v>
      </c>
      <c r="K293">
        <v>159.19999999999999</v>
      </c>
      <c r="L293">
        <v>111.7</v>
      </c>
      <c r="M293">
        <v>164</v>
      </c>
      <c r="N293">
        <v>160.6</v>
      </c>
      <c r="O293">
        <v>166.4</v>
      </c>
      <c r="P293">
        <v>154.5</v>
      </c>
      <c r="Q293">
        <v>186.1</v>
      </c>
      <c r="R293">
        <v>159.6</v>
      </c>
      <c r="S293">
        <v>154.4</v>
      </c>
      <c r="T293">
        <v>158.9</v>
      </c>
      <c r="U293" t="s">
        <v>48</v>
      </c>
      <c r="V293">
        <v>156</v>
      </c>
      <c r="W293">
        <v>154.80000000000001</v>
      </c>
      <c r="X293">
        <v>164.6</v>
      </c>
      <c r="Y293">
        <v>151.30000000000001</v>
      </c>
      <c r="Z293">
        <v>157.80000000000001</v>
      </c>
      <c r="AA293">
        <v>163.80000000000001</v>
      </c>
      <c r="AB293">
        <v>153.1</v>
      </c>
      <c r="AC293">
        <v>157.30000000000001</v>
      </c>
      <c r="AD293">
        <v>156.69999999999999</v>
      </c>
    </row>
    <row r="294" spans="1:30" x14ac:dyDescent="0.3">
      <c r="A294" t="s">
        <v>33</v>
      </c>
      <c r="B294">
        <v>2021</v>
      </c>
      <c r="C294" t="s">
        <v>36</v>
      </c>
      <c r="D294">
        <v>147.5</v>
      </c>
      <c r="E294">
        <v>197.5</v>
      </c>
      <c r="F294">
        <v>164.7</v>
      </c>
      <c r="G294">
        <v>155.6</v>
      </c>
      <c r="H294">
        <v>156.4</v>
      </c>
      <c r="I294">
        <v>157.30000000000001</v>
      </c>
      <c r="J294">
        <v>166.1</v>
      </c>
      <c r="K294">
        <v>161.1</v>
      </c>
      <c r="L294">
        <v>114.3</v>
      </c>
      <c r="M294">
        <v>162.6</v>
      </c>
      <c r="N294">
        <v>150.69999999999999</v>
      </c>
      <c r="O294">
        <v>170.3</v>
      </c>
      <c r="P294">
        <v>160.4</v>
      </c>
      <c r="Q294">
        <v>193.5</v>
      </c>
      <c r="R294">
        <v>155.1</v>
      </c>
      <c r="S294">
        <v>138.69999999999999</v>
      </c>
      <c r="T294">
        <v>152.6</v>
      </c>
      <c r="U294">
        <v>159.9</v>
      </c>
      <c r="V294">
        <v>154.80000000000001</v>
      </c>
      <c r="W294">
        <v>147.19999999999999</v>
      </c>
      <c r="X294">
        <v>156.9</v>
      </c>
      <c r="Y294">
        <v>141.69999999999999</v>
      </c>
      <c r="Z294">
        <v>148.6</v>
      </c>
      <c r="AA294">
        <v>157.6</v>
      </c>
      <c r="AB294">
        <v>154.9</v>
      </c>
      <c r="AC294">
        <v>150</v>
      </c>
      <c r="AD294">
        <v>156.9</v>
      </c>
    </row>
    <row r="295" spans="1:30" x14ac:dyDescent="0.3">
      <c r="A295" t="s">
        <v>34</v>
      </c>
      <c r="B295">
        <v>2021</v>
      </c>
      <c r="C295" t="s">
        <v>36</v>
      </c>
      <c r="D295">
        <v>144.1</v>
      </c>
      <c r="E295">
        <v>192.2</v>
      </c>
      <c r="F295">
        <v>163.80000000000001</v>
      </c>
      <c r="G295">
        <v>154.9</v>
      </c>
      <c r="H295">
        <v>163.9</v>
      </c>
      <c r="I295">
        <v>153.69999999999999</v>
      </c>
      <c r="J295">
        <v>149.5</v>
      </c>
      <c r="K295">
        <v>159.80000000000001</v>
      </c>
      <c r="L295">
        <v>112.6</v>
      </c>
      <c r="M295">
        <v>163.5</v>
      </c>
      <c r="N295">
        <v>156.5</v>
      </c>
      <c r="O295">
        <v>168.2</v>
      </c>
      <c r="P295">
        <v>156.69999999999999</v>
      </c>
      <c r="Q295">
        <v>188.1</v>
      </c>
      <c r="R295">
        <v>157.80000000000001</v>
      </c>
      <c r="S295">
        <v>147.9</v>
      </c>
      <c r="T295">
        <v>156.4</v>
      </c>
      <c r="U295">
        <v>159.9</v>
      </c>
      <c r="V295">
        <v>155.5</v>
      </c>
      <c r="W295">
        <v>151.19999999999999</v>
      </c>
      <c r="X295">
        <v>161.69999999999999</v>
      </c>
      <c r="Y295">
        <v>146.19999999999999</v>
      </c>
      <c r="Z295">
        <v>152.6</v>
      </c>
      <c r="AA295">
        <v>160.19999999999999</v>
      </c>
      <c r="AB295">
        <v>153.80000000000001</v>
      </c>
      <c r="AC295">
        <v>153.80000000000001</v>
      </c>
      <c r="AD295">
        <v>156.80000000000001</v>
      </c>
    </row>
    <row r="296" spans="1:30" x14ac:dyDescent="0.3">
      <c r="A296" t="s">
        <v>30</v>
      </c>
      <c r="B296">
        <v>2021</v>
      </c>
      <c r="C296" t="s">
        <v>37</v>
      </c>
      <c r="D296">
        <v>142.69999999999999</v>
      </c>
      <c r="E296">
        <v>195.5</v>
      </c>
      <c r="F296">
        <v>163.4</v>
      </c>
      <c r="G296">
        <v>155</v>
      </c>
      <c r="H296">
        <v>175.2</v>
      </c>
      <c r="I296">
        <v>160.6</v>
      </c>
      <c r="J296">
        <v>135.1</v>
      </c>
      <c r="K296">
        <v>161.1</v>
      </c>
      <c r="L296">
        <v>112.2</v>
      </c>
      <c r="M296">
        <v>164.4</v>
      </c>
      <c r="N296">
        <v>161.9</v>
      </c>
      <c r="O296">
        <v>166.8</v>
      </c>
      <c r="P296">
        <v>155.6</v>
      </c>
      <c r="Q296">
        <v>186.8</v>
      </c>
      <c r="R296">
        <v>160.69999999999999</v>
      </c>
      <c r="S296">
        <v>155.1</v>
      </c>
      <c r="T296">
        <v>159.9</v>
      </c>
      <c r="U296" t="s">
        <v>48</v>
      </c>
      <c r="V296">
        <v>156</v>
      </c>
      <c r="W296">
        <v>155.5</v>
      </c>
      <c r="X296">
        <v>165.3</v>
      </c>
      <c r="Y296">
        <v>151.69999999999999</v>
      </c>
      <c r="Z296">
        <v>158.6</v>
      </c>
      <c r="AA296">
        <v>164.1</v>
      </c>
      <c r="AB296">
        <v>154.6</v>
      </c>
      <c r="AC296">
        <v>158</v>
      </c>
      <c r="AD296">
        <v>157.6</v>
      </c>
    </row>
    <row r="297" spans="1:30" x14ac:dyDescent="0.3">
      <c r="A297" t="s">
        <v>33</v>
      </c>
      <c r="B297">
        <v>2021</v>
      </c>
      <c r="C297" t="s">
        <v>37</v>
      </c>
      <c r="D297">
        <v>147.6</v>
      </c>
      <c r="E297">
        <v>202.5</v>
      </c>
      <c r="F297">
        <v>166.4</v>
      </c>
      <c r="G297">
        <v>156</v>
      </c>
      <c r="H297">
        <v>161.4</v>
      </c>
      <c r="I297">
        <v>168.8</v>
      </c>
      <c r="J297">
        <v>161.6</v>
      </c>
      <c r="K297">
        <v>162.80000000000001</v>
      </c>
      <c r="L297">
        <v>114.8</v>
      </c>
      <c r="M297">
        <v>162.80000000000001</v>
      </c>
      <c r="N297">
        <v>151.5</v>
      </c>
      <c r="O297">
        <v>171.4</v>
      </c>
      <c r="P297">
        <v>162</v>
      </c>
      <c r="Q297">
        <v>194.4</v>
      </c>
      <c r="R297">
        <v>155.9</v>
      </c>
      <c r="S297">
        <v>139.30000000000001</v>
      </c>
      <c r="T297">
        <v>153.4</v>
      </c>
      <c r="U297">
        <v>161.4</v>
      </c>
      <c r="V297">
        <v>154.9</v>
      </c>
      <c r="W297">
        <v>147.6</v>
      </c>
      <c r="X297">
        <v>157.5</v>
      </c>
      <c r="Y297">
        <v>142.1</v>
      </c>
      <c r="Z297">
        <v>149.1</v>
      </c>
      <c r="AA297">
        <v>157.6</v>
      </c>
      <c r="AB297">
        <v>156.6</v>
      </c>
      <c r="AC297">
        <v>150.5</v>
      </c>
      <c r="AD297">
        <v>158</v>
      </c>
    </row>
    <row r="298" spans="1:30" x14ac:dyDescent="0.3">
      <c r="A298" t="s">
        <v>34</v>
      </c>
      <c r="B298">
        <v>2021</v>
      </c>
      <c r="C298" t="s">
        <v>37</v>
      </c>
      <c r="D298">
        <v>144.30000000000001</v>
      </c>
      <c r="E298">
        <v>198</v>
      </c>
      <c r="F298">
        <v>164.6</v>
      </c>
      <c r="G298">
        <v>155.4</v>
      </c>
      <c r="H298">
        <v>170.1</v>
      </c>
      <c r="I298">
        <v>164.4</v>
      </c>
      <c r="J298">
        <v>144.1</v>
      </c>
      <c r="K298">
        <v>161.69999999999999</v>
      </c>
      <c r="L298">
        <v>113.1</v>
      </c>
      <c r="M298">
        <v>163.9</v>
      </c>
      <c r="N298">
        <v>157.6</v>
      </c>
      <c r="O298">
        <v>168.9</v>
      </c>
      <c r="P298">
        <v>158</v>
      </c>
      <c r="Q298">
        <v>188.8</v>
      </c>
      <c r="R298">
        <v>158.80000000000001</v>
      </c>
      <c r="S298">
        <v>148.5</v>
      </c>
      <c r="T298">
        <v>157.30000000000001</v>
      </c>
      <c r="U298">
        <v>161.4</v>
      </c>
      <c r="V298">
        <v>155.6</v>
      </c>
      <c r="W298">
        <v>151.80000000000001</v>
      </c>
      <c r="X298">
        <v>162.30000000000001</v>
      </c>
      <c r="Y298">
        <v>146.6</v>
      </c>
      <c r="Z298">
        <v>153.19999999999999</v>
      </c>
      <c r="AA298">
        <v>160.30000000000001</v>
      </c>
      <c r="AB298">
        <v>155.4</v>
      </c>
      <c r="AC298">
        <v>154.4</v>
      </c>
      <c r="AD298">
        <v>157.80000000000001</v>
      </c>
    </row>
    <row r="299" spans="1:30" x14ac:dyDescent="0.3">
      <c r="A299" t="s">
        <v>30</v>
      </c>
      <c r="B299">
        <v>2021</v>
      </c>
      <c r="C299" t="s">
        <v>38</v>
      </c>
      <c r="D299">
        <v>145.1</v>
      </c>
      <c r="E299">
        <v>198.5</v>
      </c>
      <c r="F299">
        <v>168.6</v>
      </c>
      <c r="G299">
        <v>155.80000000000001</v>
      </c>
      <c r="H299">
        <v>184.4</v>
      </c>
      <c r="I299">
        <v>162.30000000000001</v>
      </c>
      <c r="J299">
        <v>138.4</v>
      </c>
      <c r="K299">
        <v>165.1</v>
      </c>
      <c r="L299">
        <v>114.3</v>
      </c>
      <c r="M299">
        <v>169.7</v>
      </c>
      <c r="N299">
        <v>164.6</v>
      </c>
      <c r="O299">
        <v>169.8</v>
      </c>
      <c r="P299">
        <v>158.69999999999999</v>
      </c>
      <c r="Q299">
        <v>189.6</v>
      </c>
      <c r="R299">
        <v>165.3</v>
      </c>
      <c r="S299">
        <v>160.6</v>
      </c>
      <c r="T299">
        <v>164.5</v>
      </c>
      <c r="U299" t="s">
        <v>32</v>
      </c>
      <c r="V299">
        <v>161.69999999999999</v>
      </c>
      <c r="W299">
        <v>158.80000000000001</v>
      </c>
      <c r="X299">
        <v>169.1</v>
      </c>
      <c r="Y299">
        <v>153.19999999999999</v>
      </c>
      <c r="Z299">
        <v>160</v>
      </c>
      <c r="AA299">
        <v>167.6</v>
      </c>
      <c r="AB299">
        <v>159.30000000000001</v>
      </c>
      <c r="AC299">
        <v>161.1</v>
      </c>
      <c r="AD299">
        <v>161.1</v>
      </c>
    </row>
    <row r="300" spans="1:30" x14ac:dyDescent="0.3">
      <c r="A300" t="s">
        <v>33</v>
      </c>
      <c r="B300">
        <v>2021</v>
      </c>
      <c r="C300" t="s">
        <v>38</v>
      </c>
      <c r="D300">
        <v>148.80000000000001</v>
      </c>
      <c r="E300">
        <v>204.3</v>
      </c>
      <c r="F300">
        <v>173</v>
      </c>
      <c r="G300">
        <v>156.5</v>
      </c>
      <c r="H300">
        <v>168.8</v>
      </c>
      <c r="I300">
        <v>172.5</v>
      </c>
      <c r="J300">
        <v>166.5</v>
      </c>
      <c r="K300">
        <v>165.9</v>
      </c>
      <c r="L300">
        <v>115.9</v>
      </c>
      <c r="M300">
        <v>165.2</v>
      </c>
      <c r="N300">
        <v>152</v>
      </c>
      <c r="O300">
        <v>171.1</v>
      </c>
      <c r="P300">
        <v>164.2</v>
      </c>
      <c r="Q300">
        <v>198.2</v>
      </c>
      <c r="R300">
        <v>156.5</v>
      </c>
      <c r="S300">
        <v>140.19999999999999</v>
      </c>
      <c r="T300">
        <v>154.1</v>
      </c>
      <c r="U300">
        <v>161.6</v>
      </c>
      <c r="V300">
        <v>155.5</v>
      </c>
      <c r="W300">
        <v>150.1</v>
      </c>
      <c r="X300">
        <v>160.4</v>
      </c>
      <c r="Y300">
        <v>145</v>
      </c>
      <c r="Z300">
        <v>152.6</v>
      </c>
      <c r="AA300">
        <v>156.6</v>
      </c>
      <c r="AB300">
        <v>157.5</v>
      </c>
      <c r="AC300">
        <v>152.30000000000001</v>
      </c>
      <c r="AD300">
        <v>159.5</v>
      </c>
    </row>
    <row r="301" spans="1:30" x14ac:dyDescent="0.3">
      <c r="A301" t="s">
        <v>34</v>
      </c>
      <c r="B301">
        <v>2021</v>
      </c>
      <c r="C301" t="s">
        <v>38</v>
      </c>
      <c r="D301">
        <v>146.30000000000001</v>
      </c>
      <c r="E301">
        <v>200.5</v>
      </c>
      <c r="F301">
        <v>170.3</v>
      </c>
      <c r="G301">
        <v>156.1</v>
      </c>
      <c r="H301">
        <v>178.7</v>
      </c>
      <c r="I301">
        <v>167.1</v>
      </c>
      <c r="J301">
        <v>147.9</v>
      </c>
      <c r="K301">
        <v>165.4</v>
      </c>
      <c r="L301">
        <v>114.8</v>
      </c>
      <c r="M301">
        <v>168.2</v>
      </c>
      <c r="N301">
        <v>159.30000000000001</v>
      </c>
      <c r="O301">
        <v>170.4</v>
      </c>
      <c r="P301">
        <v>160.69999999999999</v>
      </c>
      <c r="Q301">
        <v>191.9</v>
      </c>
      <c r="R301">
        <v>161.80000000000001</v>
      </c>
      <c r="S301">
        <v>152.1</v>
      </c>
      <c r="T301">
        <v>160.4</v>
      </c>
      <c r="U301">
        <v>161.6</v>
      </c>
      <c r="V301">
        <v>159.4</v>
      </c>
      <c r="W301">
        <v>154.69999999999999</v>
      </c>
      <c r="X301">
        <v>165.8</v>
      </c>
      <c r="Y301">
        <v>148.9</v>
      </c>
      <c r="Z301">
        <v>155.80000000000001</v>
      </c>
      <c r="AA301">
        <v>161.19999999999999</v>
      </c>
      <c r="AB301">
        <v>158.6</v>
      </c>
      <c r="AC301">
        <v>156.80000000000001</v>
      </c>
      <c r="AD301">
        <v>160.4</v>
      </c>
    </row>
    <row r="302" spans="1:30" x14ac:dyDescent="0.3">
      <c r="A302" t="s">
        <v>30</v>
      </c>
      <c r="B302">
        <v>2021</v>
      </c>
      <c r="C302" t="s">
        <v>39</v>
      </c>
      <c r="D302">
        <v>145.6</v>
      </c>
      <c r="E302">
        <v>200.1</v>
      </c>
      <c r="F302">
        <v>179.3</v>
      </c>
      <c r="G302">
        <v>156.1</v>
      </c>
      <c r="H302">
        <v>190.4</v>
      </c>
      <c r="I302">
        <v>158.6</v>
      </c>
      <c r="J302">
        <v>144.69999999999999</v>
      </c>
      <c r="K302">
        <v>165.5</v>
      </c>
      <c r="L302">
        <v>114.6</v>
      </c>
      <c r="M302">
        <v>170</v>
      </c>
      <c r="N302">
        <v>165.5</v>
      </c>
      <c r="O302">
        <v>171.7</v>
      </c>
      <c r="P302">
        <v>160.5</v>
      </c>
      <c r="Q302">
        <v>189.1</v>
      </c>
      <c r="R302">
        <v>165.3</v>
      </c>
      <c r="S302">
        <v>159.9</v>
      </c>
      <c r="T302">
        <v>164.6</v>
      </c>
      <c r="U302" t="s">
        <v>32</v>
      </c>
      <c r="V302">
        <v>162.1</v>
      </c>
      <c r="W302">
        <v>159.19999999999999</v>
      </c>
      <c r="X302">
        <v>169.7</v>
      </c>
      <c r="Y302">
        <v>154.19999999999999</v>
      </c>
      <c r="Z302">
        <v>160.4</v>
      </c>
      <c r="AA302">
        <v>166.8</v>
      </c>
      <c r="AB302">
        <v>159.4</v>
      </c>
      <c r="AC302">
        <v>161.5</v>
      </c>
      <c r="AD302">
        <v>162.1</v>
      </c>
    </row>
    <row r="303" spans="1:30" x14ac:dyDescent="0.3">
      <c r="A303" t="s">
        <v>33</v>
      </c>
      <c r="B303">
        <v>2021</v>
      </c>
      <c r="C303" t="s">
        <v>39</v>
      </c>
      <c r="D303">
        <v>149.19999999999999</v>
      </c>
      <c r="E303">
        <v>205.5</v>
      </c>
      <c r="F303">
        <v>182.8</v>
      </c>
      <c r="G303">
        <v>156.5</v>
      </c>
      <c r="H303">
        <v>172.2</v>
      </c>
      <c r="I303">
        <v>171.5</v>
      </c>
      <c r="J303">
        <v>176.2</v>
      </c>
      <c r="K303">
        <v>166.9</v>
      </c>
      <c r="L303">
        <v>116.1</v>
      </c>
      <c r="M303">
        <v>165.5</v>
      </c>
      <c r="N303">
        <v>152.30000000000001</v>
      </c>
      <c r="O303">
        <v>173.3</v>
      </c>
      <c r="P303">
        <v>166.2</v>
      </c>
      <c r="Q303">
        <v>195.6</v>
      </c>
      <c r="R303">
        <v>157.30000000000001</v>
      </c>
      <c r="S303">
        <v>140.5</v>
      </c>
      <c r="T303">
        <v>154.80000000000001</v>
      </c>
      <c r="U303">
        <v>160.5</v>
      </c>
      <c r="V303">
        <v>156.1</v>
      </c>
      <c r="W303">
        <v>149.80000000000001</v>
      </c>
      <c r="X303">
        <v>160.80000000000001</v>
      </c>
      <c r="Y303">
        <v>147.5</v>
      </c>
      <c r="Z303">
        <v>150.69999999999999</v>
      </c>
      <c r="AA303">
        <v>158.1</v>
      </c>
      <c r="AB303">
        <v>158</v>
      </c>
      <c r="AC303">
        <v>153.4</v>
      </c>
      <c r="AD303">
        <v>160.4</v>
      </c>
    </row>
    <row r="304" spans="1:30" x14ac:dyDescent="0.3">
      <c r="A304" t="s">
        <v>34</v>
      </c>
      <c r="B304">
        <v>2021</v>
      </c>
      <c r="C304" t="s">
        <v>39</v>
      </c>
      <c r="D304">
        <v>146.69999999999999</v>
      </c>
      <c r="E304">
        <v>202</v>
      </c>
      <c r="F304">
        <v>180.7</v>
      </c>
      <c r="G304">
        <v>156.19999999999999</v>
      </c>
      <c r="H304">
        <v>183.7</v>
      </c>
      <c r="I304">
        <v>164.6</v>
      </c>
      <c r="J304">
        <v>155.4</v>
      </c>
      <c r="K304">
        <v>166</v>
      </c>
      <c r="L304">
        <v>115.1</v>
      </c>
      <c r="M304">
        <v>168.5</v>
      </c>
      <c r="N304">
        <v>160</v>
      </c>
      <c r="O304">
        <v>172.4</v>
      </c>
      <c r="P304">
        <v>162.6</v>
      </c>
      <c r="Q304">
        <v>190.8</v>
      </c>
      <c r="R304">
        <v>162.19999999999999</v>
      </c>
      <c r="S304">
        <v>151.80000000000001</v>
      </c>
      <c r="T304">
        <v>160.69999999999999</v>
      </c>
      <c r="U304">
        <v>160.5</v>
      </c>
      <c r="V304">
        <v>159.80000000000001</v>
      </c>
      <c r="W304">
        <v>154.80000000000001</v>
      </c>
      <c r="X304">
        <v>166.3</v>
      </c>
      <c r="Y304">
        <v>150.69999999999999</v>
      </c>
      <c r="Z304">
        <v>154.9</v>
      </c>
      <c r="AA304">
        <v>161.69999999999999</v>
      </c>
      <c r="AB304">
        <v>158.80000000000001</v>
      </c>
      <c r="AC304">
        <v>157.6</v>
      </c>
      <c r="AD304">
        <v>161.30000000000001</v>
      </c>
    </row>
    <row r="305" spans="1:30" x14ac:dyDescent="0.3">
      <c r="A305" t="s">
        <v>30</v>
      </c>
      <c r="B305">
        <v>2021</v>
      </c>
      <c r="C305" t="s">
        <v>40</v>
      </c>
      <c r="D305">
        <v>145.1</v>
      </c>
      <c r="E305">
        <v>204.5</v>
      </c>
      <c r="F305">
        <v>180.4</v>
      </c>
      <c r="G305">
        <v>157.1</v>
      </c>
      <c r="H305">
        <v>188.7</v>
      </c>
      <c r="I305">
        <v>157.69999999999999</v>
      </c>
      <c r="J305">
        <v>152.80000000000001</v>
      </c>
      <c r="K305">
        <v>163.6</v>
      </c>
      <c r="L305">
        <v>113.9</v>
      </c>
      <c r="M305">
        <v>169.7</v>
      </c>
      <c r="N305">
        <v>166.2</v>
      </c>
      <c r="O305">
        <v>171</v>
      </c>
      <c r="P305">
        <v>161.69999999999999</v>
      </c>
      <c r="Q305">
        <v>189.7</v>
      </c>
      <c r="R305">
        <v>166</v>
      </c>
      <c r="S305">
        <v>161.1</v>
      </c>
      <c r="T305">
        <v>165.3</v>
      </c>
      <c r="U305" t="s">
        <v>32</v>
      </c>
      <c r="V305">
        <v>162.5</v>
      </c>
      <c r="W305">
        <v>160.30000000000001</v>
      </c>
      <c r="X305">
        <v>170.4</v>
      </c>
      <c r="Y305">
        <v>157.1</v>
      </c>
      <c r="Z305">
        <v>160.69999999999999</v>
      </c>
      <c r="AA305">
        <v>167.2</v>
      </c>
      <c r="AB305">
        <v>160.4</v>
      </c>
      <c r="AC305">
        <v>162.80000000000001</v>
      </c>
      <c r="AD305">
        <v>163.19999999999999</v>
      </c>
    </row>
    <row r="306" spans="1:30" x14ac:dyDescent="0.3">
      <c r="A306" t="s">
        <v>33</v>
      </c>
      <c r="B306">
        <v>2021</v>
      </c>
      <c r="C306" t="s">
        <v>40</v>
      </c>
      <c r="D306">
        <v>149.1</v>
      </c>
      <c r="E306">
        <v>210.9</v>
      </c>
      <c r="F306">
        <v>185</v>
      </c>
      <c r="G306">
        <v>158.19999999999999</v>
      </c>
      <c r="H306">
        <v>170.6</v>
      </c>
      <c r="I306">
        <v>170.9</v>
      </c>
      <c r="J306">
        <v>186.4</v>
      </c>
      <c r="K306">
        <v>164.7</v>
      </c>
      <c r="L306">
        <v>115.7</v>
      </c>
      <c r="M306">
        <v>165.5</v>
      </c>
      <c r="N306">
        <v>153.4</v>
      </c>
      <c r="O306">
        <v>173.5</v>
      </c>
      <c r="P306">
        <v>167.9</v>
      </c>
      <c r="Q306">
        <v>195.5</v>
      </c>
      <c r="R306">
        <v>157.9</v>
      </c>
      <c r="S306">
        <v>141.9</v>
      </c>
      <c r="T306">
        <v>155.5</v>
      </c>
      <c r="U306">
        <v>161.5</v>
      </c>
      <c r="V306">
        <v>157.69999999999999</v>
      </c>
      <c r="W306">
        <v>150.69999999999999</v>
      </c>
      <c r="X306">
        <v>161.5</v>
      </c>
      <c r="Y306">
        <v>149.5</v>
      </c>
      <c r="Z306">
        <v>151.19999999999999</v>
      </c>
      <c r="AA306">
        <v>160.30000000000001</v>
      </c>
      <c r="AB306">
        <v>159.6</v>
      </c>
      <c r="AC306">
        <v>155</v>
      </c>
      <c r="AD306">
        <v>161.80000000000001</v>
      </c>
    </row>
    <row r="307" spans="1:30" x14ac:dyDescent="0.3">
      <c r="A307" t="s">
        <v>34</v>
      </c>
      <c r="B307">
        <v>2021</v>
      </c>
      <c r="C307" t="s">
        <v>40</v>
      </c>
      <c r="D307">
        <v>146.4</v>
      </c>
      <c r="E307">
        <v>206.8</v>
      </c>
      <c r="F307">
        <v>182.2</v>
      </c>
      <c r="G307">
        <v>157.5</v>
      </c>
      <c r="H307">
        <v>182.1</v>
      </c>
      <c r="I307">
        <v>163.9</v>
      </c>
      <c r="J307">
        <v>164.2</v>
      </c>
      <c r="K307">
        <v>164</v>
      </c>
      <c r="L307">
        <v>114.5</v>
      </c>
      <c r="M307">
        <v>168.3</v>
      </c>
      <c r="N307">
        <v>160.9</v>
      </c>
      <c r="O307">
        <v>172.2</v>
      </c>
      <c r="P307">
        <v>164</v>
      </c>
      <c r="Q307">
        <v>191.2</v>
      </c>
      <c r="R307">
        <v>162.80000000000001</v>
      </c>
      <c r="S307">
        <v>153.1</v>
      </c>
      <c r="T307">
        <v>161.4</v>
      </c>
      <c r="U307">
        <v>161.5</v>
      </c>
      <c r="V307">
        <v>160.69999999999999</v>
      </c>
      <c r="W307">
        <v>155.80000000000001</v>
      </c>
      <c r="X307">
        <v>167</v>
      </c>
      <c r="Y307">
        <v>153.1</v>
      </c>
      <c r="Z307">
        <v>155.30000000000001</v>
      </c>
      <c r="AA307">
        <v>163.19999999999999</v>
      </c>
      <c r="AB307">
        <v>160.1</v>
      </c>
      <c r="AC307">
        <v>159</v>
      </c>
      <c r="AD307">
        <v>162.5</v>
      </c>
    </row>
    <row r="308" spans="1:30" x14ac:dyDescent="0.3">
      <c r="A308" t="s">
        <v>30</v>
      </c>
      <c r="B308">
        <v>2021</v>
      </c>
      <c r="C308" t="s">
        <v>41</v>
      </c>
      <c r="D308">
        <v>144.9</v>
      </c>
      <c r="E308">
        <v>202.3</v>
      </c>
      <c r="F308">
        <v>176.5</v>
      </c>
      <c r="G308">
        <v>157.5</v>
      </c>
      <c r="H308">
        <v>190.9</v>
      </c>
      <c r="I308">
        <v>155.69999999999999</v>
      </c>
      <c r="J308">
        <v>153.9</v>
      </c>
      <c r="K308">
        <v>162.80000000000001</v>
      </c>
      <c r="L308">
        <v>115.2</v>
      </c>
      <c r="M308">
        <v>169.8</v>
      </c>
      <c r="N308">
        <v>167.6</v>
      </c>
      <c r="O308">
        <v>171.9</v>
      </c>
      <c r="P308">
        <v>161.80000000000001</v>
      </c>
      <c r="Q308">
        <v>190.2</v>
      </c>
      <c r="R308">
        <v>167</v>
      </c>
      <c r="S308">
        <v>162.6</v>
      </c>
      <c r="T308">
        <v>166.3</v>
      </c>
      <c r="U308" t="s">
        <v>32</v>
      </c>
      <c r="V308">
        <v>163.1</v>
      </c>
      <c r="W308">
        <v>160.9</v>
      </c>
      <c r="X308">
        <v>171.1</v>
      </c>
      <c r="Y308">
        <v>157.69999999999999</v>
      </c>
      <c r="Z308">
        <v>161.1</v>
      </c>
      <c r="AA308">
        <v>167.5</v>
      </c>
      <c r="AB308">
        <v>160.30000000000001</v>
      </c>
      <c r="AC308">
        <v>163.30000000000001</v>
      </c>
      <c r="AD308">
        <v>163.6</v>
      </c>
    </row>
    <row r="309" spans="1:30" x14ac:dyDescent="0.3">
      <c r="A309" t="s">
        <v>33</v>
      </c>
      <c r="B309">
        <v>2021</v>
      </c>
      <c r="C309" t="s">
        <v>41</v>
      </c>
      <c r="D309">
        <v>149.30000000000001</v>
      </c>
      <c r="E309">
        <v>207.4</v>
      </c>
      <c r="F309">
        <v>174.1</v>
      </c>
      <c r="G309">
        <v>159.19999999999999</v>
      </c>
      <c r="H309">
        <v>175</v>
      </c>
      <c r="I309">
        <v>161.30000000000001</v>
      </c>
      <c r="J309">
        <v>183.3</v>
      </c>
      <c r="K309">
        <v>164.5</v>
      </c>
      <c r="L309">
        <v>120.4</v>
      </c>
      <c r="M309">
        <v>166.2</v>
      </c>
      <c r="N309">
        <v>154.80000000000001</v>
      </c>
      <c r="O309">
        <v>175.1</v>
      </c>
      <c r="P309">
        <v>167.3</v>
      </c>
      <c r="Q309">
        <v>196.5</v>
      </c>
      <c r="R309">
        <v>159.80000000000001</v>
      </c>
      <c r="S309">
        <v>143.6</v>
      </c>
      <c r="T309">
        <v>157.30000000000001</v>
      </c>
      <c r="U309">
        <v>162.1</v>
      </c>
      <c r="V309">
        <v>160.69999999999999</v>
      </c>
      <c r="W309">
        <v>153.19999999999999</v>
      </c>
      <c r="X309">
        <v>162.80000000000001</v>
      </c>
      <c r="Y309">
        <v>150.4</v>
      </c>
      <c r="Z309">
        <v>153.69999999999999</v>
      </c>
      <c r="AA309">
        <v>160.4</v>
      </c>
      <c r="AB309">
        <v>159.6</v>
      </c>
      <c r="AC309">
        <v>156</v>
      </c>
      <c r="AD309">
        <v>162.30000000000001</v>
      </c>
    </row>
    <row r="310" spans="1:30" x14ac:dyDescent="0.3">
      <c r="A310" t="s">
        <v>34</v>
      </c>
      <c r="B310">
        <v>2021</v>
      </c>
      <c r="C310" t="s">
        <v>41</v>
      </c>
      <c r="D310">
        <v>146.6</v>
      </c>
      <c r="E310">
        <v>204</v>
      </c>
      <c r="F310">
        <v>172.8</v>
      </c>
      <c r="G310">
        <v>158.4</v>
      </c>
      <c r="H310">
        <v>188</v>
      </c>
      <c r="I310">
        <v>156.80000000000001</v>
      </c>
      <c r="J310">
        <v>162.19999999999999</v>
      </c>
      <c r="K310">
        <v>164.1</v>
      </c>
      <c r="L310">
        <v>119.7</v>
      </c>
      <c r="M310">
        <v>168.8</v>
      </c>
      <c r="N310">
        <v>162.69999999999999</v>
      </c>
      <c r="O310">
        <v>173.9</v>
      </c>
      <c r="P310">
        <v>164</v>
      </c>
      <c r="Q310">
        <v>192.1</v>
      </c>
      <c r="R310">
        <v>164.5</v>
      </c>
      <c r="S310">
        <v>155.30000000000001</v>
      </c>
      <c r="T310">
        <v>163.19999999999999</v>
      </c>
      <c r="U310">
        <v>162.1</v>
      </c>
      <c r="V310">
        <v>162.6</v>
      </c>
      <c r="W310">
        <v>157.5</v>
      </c>
      <c r="X310">
        <v>168.4</v>
      </c>
      <c r="Y310">
        <v>154</v>
      </c>
      <c r="Z310">
        <v>157.6</v>
      </c>
      <c r="AA310">
        <v>163.80000000000001</v>
      </c>
      <c r="AB310">
        <v>160</v>
      </c>
      <c r="AC310">
        <v>160</v>
      </c>
      <c r="AD310">
        <v>163.19999999999999</v>
      </c>
    </row>
    <row r="311" spans="1:30" x14ac:dyDescent="0.3">
      <c r="A311" t="s">
        <v>30</v>
      </c>
      <c r="B311">
        <v>2021</v>
      </c>
      <c r="C311" t="s">
        <v>42</v>
      </c>
      <c r="D311">
        <v>145.4</v>
      </c>
      <c r="E311">
        <v>202.1</v>
      </c>
      <c r="F311">
        <v>172</v>
      </c>
      <c r="G311">
        <v>158</v>
      </c>
      <c r="H311">
        <v>195.5</v>
      </c>
      <c r="I311">
        <v>152.69999999999999</v>
      </c>
      <c r="J311">
        <v>151.4</v>
      </c>
      <c r="K311">
        <v>163.9</v>
      </c>
      <c r="L311">
        <v>119.3</v>
      </c>
      <c r="M311">
        <v>170.1</v>
      </c>
      <c r="N311">
        <v>168.3</v>
      </c>
      <c r="O311">
        <v>172.8</v>
      </c>
      <c r="P311">
        <v>162.1</v>
      </c>
      <c r="Q311">
        <v>190.5</v>
      </c>
      <c r="R311">
        <v>167.7</v>
      </c>
      <c r="S311">
        <v>163.6</v>
      </c>
      <c r="T311">
        <v>167.1</v>
      </c>
      <c r="U311" t="s">
        <v>32</v>
      </c>
      <c r="V311">
        <v>163.69999999999999</v>
      </c>
      <c r="W311">
        <v>161.30000000000001</v>
      </c>
      <c r="X311">
        <v>171.9</v>
      </c>
      <c r="Y311">
        <v>157.80000000000001</v>
      </c>
      <c r="Z311">
        <v>162.69999999999999</v>
      </c>
      <c r="AA311">
        <v>168.5</v>
      </c>
      <c r="AB311">
        <v>160.19999999999999</v>
      </c>
      <c r="AC311">
        <v>163.80000000000001</v>
      </c>
      <c r="AD311">
        <v>164</v>
      </c>
    </row>
    <row r="312" spans="1:30" x14ac:dyDescent="0.3">
      <c r="A312" t="s">
        <v>33</v>
      </c>
      <c r="B312">
        <v>2021</v>
      </c>
      <c r="C312" t="s">
        <v>42</v>
      </c>
      <c r="D312">
        <v>149.30000000000001</v>
      </c>
      <c r="E312">
        <v>207.4</v>
      </c>
      <c r="F312">
        <v>174.1</v>
      </c>
      <c r="G312">
        <v>159.1</v>
      </c>
      <c r="H312">
        <v>175</v>
      </c>
      <c r="I312">
        <v>161.19999999999999</v>
      </c>
      <c r="J312">
        <v>183.5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167.3</v>
      </c>
      <c r="Q312">
        <v>196.5</v>
      </c>
      <c r="R312">
        <v>159.80000000000001</v>
      </c>
      <c r="S312">
        <v>143.6</v>
      </c>
      <c r="T312">
        <v>157.4</v>
      </c>
      <c r="U312">
        <v>162.1</v>
      </c>
      <c r="V312">
        <v>160.80000000000001</v>
      </c>
      <c r="W312">
        <v>153.30000000000001</v>
      </c>
      <c r="X312">
        <v>162.80000000000001</v>
      </c>
      <c r="Y312">
        <v>150.5</v>
      </c>
      <c r="Z312">
        <v>153.9</v>
      </c>
      <c r="AA312">
        <v>160.30000000000001</v>
      </c>
      <c r="AB312">
        <v>159.6</v>
      </c>
      <c r="AC312">
        <v>156</v>
      </c>
      <c r="AD312">
        <v>162.30000000000001</v>
      </c>
    </row>
    <row r="313" spans="1:30" x14ac:dyDescent="0.3">
      <c r="A313" t="s">
        <v>34</v>
      </c>
      <c r="B313">
        <v>2021</v>
      </c>
      <c r="C313" t="s">
        <v>42</v>
      </c>
      <c r="D313">
        <v>146.6</v>
      </c>
      <c r="E313">
        <v>204</v>
      </c>
      <c r="F313">
        <v>172.8</v>
      </c>
      <c r="G313">
        <v>158.4</v>
      </c>
      <c r="H313">
        <v>188</v>
      </c>
      <c r="I313">
        <v>156.69999999999999</v>
      </c>
      <c r="J313">
        <v>162.30000000000001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164</v>
      </c>
      <c r="Q313">
        <v>192.1</v>
      </c>
      <c r="R313">
        <v>164.6</v>
      </c>
      <c r="S313">
        <v>155.30000000000001</v>
      </c>
      <c r="T313">
        <v>163.30000000000001</v>
      </c>
      <c r="U313">
        <v>162.1</v>
      </c>
      <c r="V313">
        <v>162.6</v>
      </c>
      <c r="W313">
        <v>157.5</v>
      </c>
      <c r="X313">
        <v>168.4</v>
      </c>
      <c r="Y313">
        <v>154</v>
      </c>
      <c r="Z313">
        <v>157.69999999999999</v>
      </c>
      <c r="AA313">
        <v>163.69999999999999</v>
      </c>
      <c r="AB313">
        <v>160</v>
      </c>
      <c r="AC313">
        <v>160</v>
      </c>
      <c r="AD313">
        <v>163.19999999999999</v>
      </c>
    </row>
    <row r="314" spans="1:30" x14ac:dyDescent="0.3">
      <c r="A314" t="s">
        <v>30</v>
      </c>
      <c r="B314">
        <v>2021</v>
      </c>
      <c r="C314" t="s">
        <v>43</v>
      </c>
      <c r="D314">
        <v>146.1</v>
      </c>
      <c r="E314">
        <v>202.5</v>
      </c>
      <c r="F314">
        <v>170.1</v>
      </c>
      <c r="G314">
        <v>158.4</v>
      </c>
      <c r="H314">
        <v>198.8</v>
      </c>
      <c r="I314">
        <v>152.6</v>
      </c>
      <c r="J314">
        <v>170.4</v>
      </c>
      <c r="K314">
        <v>165.2</v>
      </c>
      <c r="L314">
        <v>121.6</v>
      </c>
      <c r="M314">
        <v>170.6</v>
      </c>
      <c r="N314">
        <v>168.8</v>
      </c>
      <c r="O314">
        <v>173.6</v>
      </c>
      <c r="P314">
        <v>165.5</v>
      </c>
      <c r="Q314">
        <v>191.2</v>
      </c>
      <c r="R314">
        <v>168.9</v>
      </c>
      <c r="S314">
        <v>164.8</v>
      </c>
      <c r="T314">
        <v>168.3</v>
      </c>
      <c r="U314" t="s">
        <v>32</v>
      </c>
      <c r="V314">
        <v>165.5</v>
      </c>
      <c r="W314">
        <v>162</v>
      </c>
      <c r="X314">
        <v>172.5</v>
      </c>
      <c r="Y314">
        <v>159.5</v>
      </c>
      <c r="Z314">
        <v>163.19999999999999</v>
      </c>
      <c r="AA314">
        <v>169</v>
      </c>
      <c r="AB314">
        <v>161.1</v>
      </c>
      <c r="AC314">
        <v>164.7</v>
      </c>
      <c r="AD314">
        <v>166.3</v>
      </c>
    </row>
    <row r="315" spans="1:30" x14ac:dyDescent="0.3">
      <c r="A315" t="s">
        <v>33</v>
      </c>
      <c r="B315">
        <v>2021</v>
      </c>
      <c r="C315" t="s">
        <v>43</v>
      </c>
      <c r="D315">
        <v>150.1</v>
      </c>
      <c r="E315">
        <v>208.4</v>
      </c>
      <c r="F315">
        <v>173</v>
      </c>
      <c r="G315">
        <v>159.19999999999999</v>
      </c>
      <c r="H315">
        <v>176.6</v>
      </c>
      <c r="I315">
        <v>159.30000000000001</v>
      </c>
      <c r="J315">
        <v>214.4</v>
      </c>
      <c r="K315">
        <v>165.3</v>
      </c>
      <c r="L315">
        <v>122.5</v>
      </c>
      <c r="M315">
        <v>166.8</v>
      </c>
      <c r="N315">
        <v>155.4</v>
      </c>
      <c r="O315">
        <v>175.9</v>
      </c>
      <c r="P315">
        <v>171.5</v>
      </c>
      <c r="Q315">
        <v>197</v>
      </c>
      <c r="R315">
        <v>160.80000000000001</v>
      </c>
      <c r="S315">
        <v>144.4</v>
      </c>
      <c r="T315">
        <v>158.30000000000001</v>
      </c>
      <c r="U315">
        <v>163.6</v>
      </c>
      <c r="V315">
        <v>162.19999999999999</v>
      </c>
      <c r="W315">
        <v>154.30000000000001</v>
      </c>
      <c r="X315">
        <v>163.5</v>
      </c>
      <c r="Y315">
        <v>152.19999999999999</v>
      </c>
      <c r="Z315">
        <v>155.1</v>
      </c>
      <c r="AA315">
        <v>160.30000000000001</v>
      </c>
      <c r="AB315">
        <v>160.30000000000001</v>
      </c>
      <c r="AC315">
        <v>157</v>
      </c>
      <c r="AD315">
        <v>164.6</v>
      </c>
    </row>
    <row r="316" spans="1:30" x14ac:dyDescent="0.3">
      <c r="A316" t="s">
        <v>34</v>
      </c>
      <c r="B316">
        <v>2021</v>
      </c>
      <c r="C316" t="s">
        <v>43</v>
      </c>
      <c r="D316">
        <v>147.4</v>
      </c>
      <c r="E316">
        <v>204.6</v>
      </c>
      <c r="F316">
        <v>171.2</v>
      </c>
      <c r="G316">
        <v>158.69999999999999</v>
      </c>
      <c r="H316">
        <v>190.6</v>
      </c>
      <c r="I316">
        <v>155.69999999999999</v>
      </c>
      <c r="J316">
        <v>185.3</v>
      </c>
      <c r="K316">
        <v>165.2</v>
      </c>
      <c r="L316">
        <v>121.9</v>
      </c>
      <c r="M316">
        <v>169.3</v>
      </c>
      <c r="N316">
        <v>163.19999999999999</v>
      </c>
      <c r="O316">
        <v>174.7</v>
      </c>
      <c r="P316">
        <v>167.7</v>
      </c>
      <c r="Q316">
        <v>192.7</v>
      </c>
      <c r="R316">
        <v>165.7</v>
      </c>
      <c r="S316">
        <v>156.30000000000001</v>
      </c>
      <c r="T316">
        <v>164.3</v>
      </c>
      <c r="U316">
        <v>163.6</v>
      </c>
      <c r="V316">
        <v>164.2</v>
      </c>
      <c r="W316">
        <v>158.4</v>
      </c>
      <c r="X316">
        <v>169.1</v>
      </c>
      <c r="Y316">
        <v>155.69999999999999</v>
      </c>
      <c r="Z316">
        <v>158.6</v>
      </c>
      <c r="AA316">
        <v>163.9</v>
      </c>
      <c r="AB316">
        <v>160.80000000000001</v>
      </c>
      <c r="AC316">
        <v>161</v>
      </c>
      <c r="AD316">
        <v>165.5</v>
      </c>
    </row>
    <row r="317" spans="1:30" x14ac:dyDescent="0.3">
      <c r="A317" t="s">
        <v>30</v>
      </c>
      <c r="B317">
        <v>2021</v>
      </c>
      <c r="C317" t="s">
        <v>45</v>
      </c>
      <c r="D317">
        <v>146.9</v>
      </c>
      <c r="E317">
        <v>199.8</v>
      </c>
      <c r="F317">
        <v>171.5</v>
      </c>
      <c r="G317">
        <v>159.1</v>
      </c>
      <c r="H317">
        <v>198.4</v>
      </c>
      <c r="I317">
        <v>153.19999999999999</v>
      </c>
      <c r="J317">
        <v>183.9</v>
      </c>
      <c r="K317">
        <v>165.4</v>
      </c>
      <c r="L317">
        <v>122.1</v>
      </c>
      <c r="M317">
        <v>170.8</v>
      </c>
      <c r="N317">
        <v>169.1</v>
      </c>
      <c r="O317">
        <v>174.3</v>
      </c>
      <c r="P317">
        <v>167.5</v>
      </c>
      <c r="Q317">
        <v>191.4</v>
      </c>
      <c r="R317">
        <v>170.4</v>
      </c>
      <c r="S317">
        <v>166</v>
      </c>
      <c r="T317">
        <v>169.8</v>
      </c>
      <c r="U317" t="s">
        <v>32</v>
      </c>
      <c r="V317">
        <v>165.3</v>
      </c>
      <c r="W317">
        <v>162.9</v>
      </c>
      <c r="X317">
        <v>173.4</v>
      </c>
      <c r="Y317">
        <v>158.9</v>
      </c>
      <c r="Z317">
        <v>163.80000000000001</v>
      </c>
      <c r="AA317">
        <v>169.3</v>
      </c>
      <c r="AB317">
        <v>162.4</v>
      </c>
      <c r="AC317">
        <v>165.2</v>
      </c>
      <c r="AD317">
        <v>167.6</v>
      </c>
    </row>
    <row r="318" spans="1:30" x14ac:dyDescent="0.3">
      <c r="A318" t="s">
        <v>33</v>
      </c>
      <c r="B318">
        <v>2021</v>
      </c>
      <c r="C318" t="s">
        <v>45</v>
      </c>
      <c r="D318">
        <v>151</v>
      </c>
      <c r="E318">
        <v>204.9</v>
      </c>
      <c r="F318">
        <v>175.4</v>
      </c>
      <c r="G318">
        <v>159.6</v>
      </c>
      <c r="H318">
        <v>175.8</v>
      </c>
      <c r="I318">
        <v>160.30000000000001</v>
      </c>
      <c r="J318">
        <v>229.1</v>
      </c>
      <c r="K318">
        <v>165.1</v>
      </c>
      <c r="L318">
        <v>123.1</v>
      </c>
      <c r="M318">
        <v>167.2</v>
      </c>
      <c r="N318">
        <v>156.1</v>
      </c>
      <c r="O318">
        <v>176.8</v>
      </c>
      <c r="P318">
        <v>173.5</v>
      </c>
      <c r="Q318">
        <v>197</v>
      </c>
      <c r="R318">
        <v>162.30000000000001</v>
      </c>
      <c r="S318">
        <v>145.30000000000001</v>
      </c>
      <c r="T318">
        <v>159.69999999999999</v>
      </c>
      <c r="U318">
        <v>164.2</v>
      </c>
      <c r="V318">
        <v>161.6</v>
      </c>
      <c r="W318">
        <v>155.19999999999999</v>
      </c>
      <c r="X318">
        <v>164.2</v>
      </c>
      <c r="Y318">
        <v>151.19999999999999</v>
      </c>
      <c r="Z318">
        <v>156.69999999999999</v>
      </c>
      <c r="AA318">
        <v>160.80000000000001</v>
      </c>
      <c r="AB318">
        <v>161.80000000000001</v>
      </c>
      <c r="AC318">
        <v>157.30000000000001</v>
      </c>
      <c r="AD318">
        <v>165.6</v>
      </c>
    </row>
    <row r="319" spans="1:30" x14ac:dyDescent="0.3">
      <c r="A319" t="s">
        <v>34</v>
      </c>
      <c r="B319">
        <v>2021</v>
      </c>
      <c r="C319" t="s">
        <v>45</v>
      </c>
      <c r="D319">
        <v>148.19999999999999</v>
      </c>
      <c r="E319">
        <v>201.6</v>
      </c>
      <c r="F319">
        <v>173</v>
      </c>
      <c r="G319">
        <v>159.30000000000001</v>
      </c>
      <c r="H319">
        <v>190.1</v>
      </c>
      <c r="I319">
        <v>156.5</v>
      </c>
      <c r="J319">
        <v>199.2</v>
      </c>
      <c r="K319">
        <v>165.3</v>
      </c>
      <c r="L319">
        <v>122.4</v>
      </c>
      <c r="M319">
        <v>169.6</v>
      </c>
      <c r="N319">
        <v>163.69999999999999</v>
      </c>
      <c r="O319">
        <v>175.5</v>
      </c>
      <c r="P319">
        <v>169.7</v>
      </c>
      <c r="Q319">
        <v>192.9</v>
      </c>
      <c r="R319">
        <v>167.2</v>
      </c>
      <c r="S319">
        <v>157.4</v>
      </c>
      <c r="T319">
        <v>165.8</v>
      </c>
      <c r="U319">
        <v>164.2</v>
      </c>
      <c r="V319">
        <v>163.9</v>
      </c>
      <c r="W319">
        <v>159.30000000000001</v>
      </c>
      <c r="X319">
        <v>169.9</v>
      </c>
      <c r="Y319">
        <v>154.80000000000001</v>
      </c>
      <c r="Z319">
        <v>159.80000000000001</v>
      </c>
      <c r="AA319">
        <v>164.3</v>
      </c>
      <c r="AB319">
        <v>162.19999999999999</v>
      </c>
      <c r="AC319">
        <v>161.4</v>
      </c>
      <c r="AD319">
        <v>166.7</v>
      </c>
    </row>
    <row r="320" spans="1:30" x14ac:dyDescent="0.3">
      <c r="A320" t="s">
        <v>30</v>
      </c>
      <c r="B320">
        <v>2021</v>
      </c>
      <c r="C320" t="s">
        <v>46</v>
      </c>
      <c r="D320">
        <v>147.4</v>
      </c>
      <c r="E320">
        <v>197</v>
      </c>
      <c r="F320">
        <v>176.5</v>
      </c>
      <c r="G320">
        <v>159.80000000000001</v>
      </c>
      <c r="H320">
        <v>195.8</v>
      </c>
      <c r="I320">
        <v>152</v>
      </c>
      <c r="J320">
        <v>172.3</v>
      </c>
      <c r="K320">
        <v>164.5</v>
      </c>
      <c r="L320">
        <v>120.6</v>
      </c>
      <c r="M320">
        <v>171.7</v>
      </c>
      <c r="N320">
        <v>169.7</v>
      </c>
      <c r="O320">
        <v>175.1</v>
      </c>
      <c r="P320">
        <v>165.8</v>
      </c>
      <c r="Q320">
        <v>190.8</v>
      </c>
      <c r="R320">
        <v>171.8</v>
      </c>
      <c r="S320">
        <v>167.3</v>
      </c>
      <c r="T320">
        <v>171.2</v>
      </c>
      <c r="U320" t="s">
        <v>32</v>
      </c>
      <c r="V320">
        <v>165.6</v>
      </c>
      <c r="W320">
        <v>163.9</v>
      </c>
      <c r="X320">
        <v>174</v>
      </c>
      <c r="Y320">
        <v>160.1</v>
      </c>
      <c r="Z320">
        <v>164.5</v>
      </c>
      <c r="AA320">
        <v>169.7</v>
      </c>
      <c r="AB320">
        <v>162.80000000000001</v>
      </c>
      <c r="AC320">
        <v>166</v>
      </c>
      <c r="AD320">
        <v>167</v>
      </c>
    </row>
    <row r="321" spans="1:30" x14ac:dyDescent="0.3">
      <c r="A321" t="s">
        <v>33</v>
      </c>
      <c r="B321">
        <v>2021</v>
      </c>
      <c r="C321" t="s">
        <v>46</v>
      </c>
      <c r="D321">
        <v>151.6</v>
      </c>
      <c r="E321">
        <v>202.2</v>
      </c>
      <c r="F321">
        <v>180</v>
      </c>
      <c r="G321">
        <v>160</v>
      </c>
      <c r="H321">
        <v>173.5</v>
      </c>
      <c r="I321">
        <v>158.30000000000001</v>
      </c>
      <c r="J321">
        <v>219.5</v>
      </c>
      <c r="K321">
        <v>164.2</v>
      </c>
      <c r="L321">
        <v>121.9</v>
      </c>
      <c r="M321">
        <v>168.2</v>
      </c>
      <c r="N321">
        <v>156.5</v>
      </c>
      <c r="O321">
        <v>178.2</v>
      </c>
      <c r="P321">
        <v>172.2</v>
      </c>
      <c r="Q321">
        <v>196.8</v>
      </c>
      <c r="R321">
        <v>163.30000000000001</v>
      </c>
      <c r="S321">
        <v>146.69999999999999</v>
      </c>
      <c r="T321">
        <v>160.69999999999999</v>
      </c>
      <c r="U321">
        <v>163.4</v>
      </c>
      <c r="V321">
        <v>161.69999999999999</v>
      </c>
      <c r="W321">
        <v>156</v>
      </c>
      <c r="X321">
        <v>165.1</v>
      </c>
      <c r="Y321">
        <v>151.80000000000001</v>
      </c>
      <c r="Z321">
        <v>157.6</v>
      </c>
      <c r="AA321">
        <v>160.6</v>
      </c>
      <c r="AB321">
        <v>162.4</v>
      </c>
      <c r="AC321">
        <v>157.80000000000001</v>
      </c>
      <c r="AD321">
        <v>165.2</v>
      </c>
    </row>
    <row r="322" spans="1:30" x14ac:dyDescent="0.3">
      <c r="A322" t="s">
        <v>34</v>
      </c>
      <c r="B322">
        <v>2021</v>
      </c>
      <c r="C322" t="s">
        <v>46</v>
      </c>
      <c r="D322">
        <v>148.69999999999999</v>
      </c>
      <c r="E322">
        <v>198.8</v>
      </c>
      <c r="F322">
        <v>177.9</v>
      </c>
      <c r="G322">
        <v>159.9</v>
      </c>
      <c r="H322">
        <v>187.6</v>
      </c>
      <c r="I322">
        <v>154.9</v>
      </c>
      <c r="J322">
        <v>188.3</v>
      </c>
      <c r="K322">
        <v>164.4</v>
      </c>
      <c r="L322">
        <v>121</v>
      </c>
      <c r="M322">
        <v>170.5</v>
      </c>
      <c r="N322">
        <v>164.2</v>
      </c>
      <c r="O322">
        <v>176.5</v>
      </c>
      <c r="P322">
        <v>168.2</v>
      </c>
      <c r="Q322">
        <v>192.4</v>
      </c>
      <c r="R322">
        <v>168.5</v>
      </c>
      <c r="S322">
        <v>158.69999999999999</v>
      </c>
      <c r="T322">
        <v>167</v>
      </c>
      <c r="U322">
        <v>163.4</v>
      </c>
      <c r="V322">
        <v>164.1</v>
      </c>
      <c r="W322">
        <v>160.19999999999999</v>
      </c>
      <c r="X322">
        <v>170.6</v>
      </c>
      <c r="Y322">
        <v>155.69999999999999</v>
      </c>
      <c r="Z322">
        <v>160.6</v>
      </c>
      <c r="AA322">
        <v>164.4</v>
      </c>
      <c r="AB322">
        <v>162.6</v>
      </c>
      <c r="AC322">
        <v>162</v>
      </c>
      <c r="AD322">
        <v>166.2</v>
      </c>
    </row>
    <row r="323" spans="1:30" x14ac:dyDescent="0.3">
      <c r="A323" t="s">
        <v>30</v>
      </c>
      <c r="B323">
        <v>2022</v>
      </c>
      <c r="C323" t="s">
        <v>31</v>
      </c>
      <c r="D323">
        <v>148.30000000000001</v>
      </c>
      <c r="E323">
        <v>196.9</v>
      </c>
      <c r="F323">
        <v>178</v>
      </c>
      <c r="G323">
        <v>160.5</v>
      </c>
      <c r="H323">
        <v>192.6</v>
      </c>
      <c r="I323">
        <v>151.19999999999999</v>
      </c>
      <c r="J323">
        <v>159.19999999999999</v>
      </c>
      <c r="K323">
        <v>164</v>
      </c>
      <c r="L323">
        <v>119.3</v>
      </c>
      <c r="M323">
        <v>173.3</v>
      </c>
      <c r="N323">
        <v>169.8</v>
      </c>
      <c r="O323">
        <v>175.8</v>
      </c>
      <c r="P323">
        <v>164.1</v>
      </c>
      <c r="Q323">
        <v>190.7</v>
      </c>
      <c r="R323">
        <v>173.2</v>
      </c>
      <c r="S323">
        <v>169.3</v>
      </c>
      <c r="T323">
        <v>172.7</v>
      </c>
      <c r="U323" t="s">
        <v>32</v>
      </c>
      <c r="V323">
        <v>165.8</v>
      </c>
      <c r="W323">
        <v>164.9</v>
      </c>
      <c r="X323">
        <v>174.7</v>
      </c>
      <c r="Y323">
        <v>160.80000000000001</v>
      </c>
      <c r="Z323">
        <v>164.9</v>
      </c>
      <c r="AA323">
        <v>169.9</v>
      </c>
      <c r="AB323">
        <v>163.19999999999999</v>
      </c>
      <c r="AC323">
        <v>166.6</v>
      </c>
      <c r="AD323">
        <v>166.4</v>
      </c>
    </row>
    <row r="324" spans="1:30" x14ac:dyDescent="0.3">
      <c r="A324" t="s">
        <v>33</v>
      </c>
      <c r="B324">
        <v>2022</v>
      </c>
      <c r="C324" t="s">
        <v>31</v>
      </c>
      <c r="D324">
        <v>152.19999999999999</v>
      </c>
      <c r="E324">
        <v>202.1</v>
      </c>
      <c r="F324">
        <v>180.1</v>
      </c>
      <c r="G324">
        <v>160.4</v>
      </c>
      <c r="H324">
        <v>171</v>
      </c>
      <c r="I324">
        <v>156.5</v>
      </c>
      <c r="J324">
        <v>203.6</v>
      </c>
      <c r="K324">
        <v>163.80000000000001</v>
      </c>
      <c r="L324">
        <v>121.3</v>
      </c>
      <c r="M324">
        <v>169.8</v>
      </c>
      <c r="N324">
        <v>156.6</v>
      </c>
      <c r="O324">
        <v>179</v>
      </c>
      <c r="P324">
        <v>170.3</v>
      </c>
      <c r="Q324">
        <v>196.4</v>
      </c>
      <c r="R324">
        <v>164.7</v>
      </c>
      <c r="S324">
        <v>148.5</v>
      </c>
      <c r="T324">
        <v>162.19999999999999</v>
      </c>
      <c r="U324">
        <v>164.5</v>
      </c>
      <c r="V324">
        <v>161.6</v>
      </c>
      <c r="W324">
        <v>156.80000000000001</v>
      </c>
      <c r="X324">
        <v>166.1</v>
      </c>
      <c r="Y324">
        <v>152.69999999999999</v>
      </c>
      <c r="Z324">
        <v>158.4</v>
      </c>
      <c r="AA324">
        <v>161</v>
      </c>
      <c r="AB324">
        <v>162.80000000000001</v>
      </c>
      <c r="AC324">
        <v>158.6</v>
      </c>
      <c r="AD324">
        <v>165</v>
      </c>
    </row>
    <row r="325" spans="1:30" x14ac:dyDescent="0.3">
      <c r="A325" t="s">
        <v>34</v>
      </c>
      <c r="B325">
        <v>2022</v>
      </c>
      <c r="C325" t="s">
        <v>31</v>
      </c>
      <c r="D325">
        <v>149.5</v>
      </c>
      <c r="E325">
        <v>198.7</v>
      </c>
      <c r="F325">
        <v>178.8</v>
      </c>
      <c r="G325">
        <v>160.5</v>
      </c>
      <c r="H325">
        <v>184.7</v>
      </c>
      <c r="I325">
        <v>153.69999999999999</v>
      </c>
      <c r="J325">
        <v>174.3</v>
      </c>
      <c r="K325">
        <v>163.9</v>
      </c>
      <c r="L325">
        <v>120</v>
      </c>
      <c r="M325">
        <v>172.1</v>
      </c>
      <c r="N325">
        <v>164.3</v>
      </c>
      <c r="O325">
        <v>177.3</v>
      </c>
      <c r="P325">
        <v>166.4</v>
      </c>
      <c r="Q325">
        <v>192.2</v>
      </c>
      <c r="R325">
        <v>169.9</v>
      </c>
      <c r="S325">
        <v>160.69999999999999</v>
      </c>
      <c r="T325">
        <v>168.5</v>
      </c>
      <c r="U325">
        <v>164.5</v>
      </c>
      <c r="V325">
        <v>164.2</v>
      </c>
      <c r="W325">
        <v>161.1</v>
      </c>
      <c r="X325">
        <v>171.4</v>
      </c>
      <c r="Y325">
        <v>156.5</v>
      </c>
      <c r="Z325">
        <v>161.19999999999999</v>
      </c>
      <c r="AA325">
        <v>164.7</v>
      </c>
      <c r="AB325">
        <v>163</v>
      </c>
      <c r="AC325">
        <v>162.69999999999999</v>
      </c>
      <c r="AD325">
        <v>165.7</v>
      </c>
    </row>
    <row r="326" spans="1:30" x14ac:dyDescent="0.3">
      <c r="A326" t="s">
        <v>30</v>
      </c>
      <c r="B326">
        <v>2022</v>
      </c>
      <c r="C326" t="s">
        <v>35</v>
      </c>
      <c r="D326">
        <v>148.80000000000001</v>
      </c>
      <c r="E326">
        <v>198.1</v>
      </c>
      <c r="F326">
        <v>175.5</v>
      </c>
      <c r="G326">
        <v>160.69999999999999</v>
      </c>
      <c r="H326">
        <v>192.6</v>
      </c>
      <c r="I326">
        <v>151.4</v>
      </c>
      <c r="J326">
        <v>155.19999999999999</v>
      </c>
      <c r="K326">
        <v>163.9</v>
      </c>
      <c r="L326">
        <v>118.1</v>
      </c>
      <c r="M326">
        <v>175.4</v>
      </c>
      <c r="N326">
        <v>170.5</v>
      </c>
      <c r="O326">
        <v>176.3</v>
      </c>
      <c r="P326">
        <v>163.9</v>
      </c>
      <c r="Q326">
        <v>191.5</v>
      </c>
      <c r="R326">
        <v>174.1</v>
      </c>
      <c r="S326">
        <v>171</v>
      </c>
      <c r="T326">
        <v>173.7</v>
      </c>
      <c r="U326" t="s">
        <v>32</v>
      </c>
      <c r="V326">
        <v>167.4</v>
      </c>
      <c r="W326">
        <v>165.7</v>
      </c>
      <c r="X326">
        <v>175.3</v>
      </c>
      <c r="Y326">
        <v>161.19999999999999</v>
      </c>
      <c r="Z326">
        <v>165.5</v>
      </c>
      <c r="AA326">
        <v>170.3</v>
      </c>
      <c r="AB326">
        <v>164.5</v>
      </c>
      <c r="AC326">
        <v>167.3</v>
      </c>
      <c r="AD326">
        <v>166.7</v>
      </c>
    </row>
    <row r="327" spans="1:30" x14ac:dyDescent="0.3">
      <c r="A327" t="s">
        <v>33</v>
      </c>
      <c r="B327">
        <v>2022</v>
      </c>
      <c r="C327" t="s">
        <v>35</v>
      </c>
      <c r="D327">
        <v>152.5</v>
      </c>
      <c r="E327">
        <v>205.2</v>
      </c>
      <c r="F327">
        <v>176.4</v>
      </c>
      <c r="G327">
        <v>160.6</v>
      </c>
      <c r="H327">
        <v>171.5</v>
      </c>
      <c r="I327">
        <v>156.4</v>
      </c>
      <c r="J327">
        <v>198</v>
      </c>
      <c r="K327">
        <v>163.19999999999999</v>
      </c>
      <c r="L327">
        <v>120.6</v>
      </c>
      <c r="M327">
        <v>172.2</v>
      </c>
      <c r="N327">
        <v>156.69999999999999</v>
      </c>
      <c r="O327">
        <v>180</v>
      </c>
      <c r="P327">
        <v>170.2</v>
      </c>
      <c r="Q327">
        <v>196.5</v>
      </c>
      <c r="R327">
        <v>165.7</v>
      </c>
      <c r="S327">
        <v>150.4</v>
      </c>
      <c r="T327">
        <v>163.4</v>
      </c>
      <c r="U327">
        <v>165.5</v>
      </c>
      <c r="V327">
        <v>163</v>
      </c>
      <c r="W327">
        <v>157.4</v>
      </c>
      <c r="X327">
        <v>167.2</v>
      </c>
      <c r="Y327">
        <v>153.1</v>
      </c>
      <c r="Z327">
        <v>159.5</v>
      </c>
      <c r="AA327">
        <v>162</v>
      </c>
      <c r="AB327">
        <v>164.2</v>
      </c>
      <c r="AC327">
        <v>159.4</v>
      </c>
      <c r="AD327">
        <v>165.5</v>
      </c>
    </row>
    <row r="328" spans="1:30" x14ac:dyDescent="0.3">
      <c r="A328" t="s">
        <v>34</v>
      </c>
      <c r="B328">
        <v>2022</v>
      </c>
      <c r="C328" t="s">
        <v>35</v>
      </c>
      <c r="D328">
        <v>150</v>
      </c>
      <c r="E328">
        <v>200.6</v>
      </c>
      <c r="F328">
        <v>175.8</v>
      </c>
      <c r="G328">
        <v>160.69999999999999</v>
      </c>
      <c r="H328">
        <v>184.9</v>
      </c>
      <c r="I328">
        <v>153.69999999999999</v>
      </c>
      <c r="J328">
        <v>169.7</v>
      </c>
      <c r="K328">
        <v>163.69999999999999</v>
      </c>
      <c r="L328">
        <v>118.9</v>
      </c>
      <c r="M328">
        <v>174.3</v>
      </c>
      <c r="N328">
        <v>164.7</v>
      </c>
      <c r="O328">
        <v>178</v>
      </c>
      <c r="P328">
        <v>166.2</v>
      </c>
      <c r="Q328">
        <v>192.8</v>
      </c>
      <c r="R328">
        <v>170.8</v>
      </c>
      <c r="S328">
        <v>162.4</v>
      </c>
      <c r="T328">
        <v>169.6</v>
      </c>
      <c r="U328">
        <v>165.5</v>
      </c>
      <c r="V328">
        <v>165.7</v>
      </c>
      <c r="W328">
        <v>161.80000000000001</v>
      </c>
      <c r="X328">
        <v>172.2</v>
      </c>
      <c r="Y328">
        <v>156.9</v>
      </c>
      <c r="Z328">
        <v>162.1</v>
      </c>
      <c r="AA328">
        <v>165.4</v>
      </c>
      <c r="AB328">
        <v>164.4</v>
      </c>
      <c r="AC328">
        <v>163.5</v>
      </c>
      <c r="AD328">
        <v>166.1</v>
      </c>
    </row>
    <row r="329" spans="1:30" x14ac:dyDescent="0.3">
      <c r="A329" t="s">
        <v>30</v>
      </c>
      <c r="B329">
        <v>2022</v>
      </c>
      <c r="C329" t="s">
        <v>36</v>
      </c>
      <c r="D329">
        <v>150.19999999999999</v>
      </c>
      <c r="E329">
        <v>208</v>
      </c>
      <c r="F329">
        <v>167.9</v>
      </c>
      <c r="G329">
        <v>162</v>
      </c>
      <c r="H329">
        <v>203.1</v>
      </c>
      <c r="I329">
        <v>155.9</v>
      </c>
      <c r="J329">
        <v>155.80000000000001</v>
      </c>
      <c r="K329">
        <v>164.2</v>
      </c>
      <c r="L329">
        <v>118.1</v>
      </c>
      <c r="M329">
        <v>178.7</v>
      </c>
      <c r="N329">
        <v>171.2</v>
      </c>
      <c r="O329">
        <v>177.4</v>
      </c>
      <c r="P329">
        <v>166.6</v>
      </c>
      <c r="Q329">
        <v>192.3</v>
      </c>
      <c r="R329">
        <v>175.4</v>
      </c>
      <c r="S329">
        <v>173.2</v>
      </c>
      <c r="T329">
        <v>175.1</v>
      </c>
      <c r="U329" t="s">
        <v>32</v>
      </c>
      <c r="V329">
        <v>168.9</v>
      </c>
      <c r="W329">
        <v>166.5</v>
      </c>
      <c r="X329">
        <v>176</v>
      </c>
      <c r="Y329">
        <v>162</v>
      </c>
      <c r="Z329">
        <v>166.6</v>
      </c>
      <c r="AA329">
        <v>170.6</v>
      </c>
      <c r="AB329">
        <v>167.4</v>
      </c>
      <c r="AC329">
        <v>168.3</v>
      </c>
      <c r="AD329">
        <v>168.7</v>
      </c>
    </row>
    <row r="330" spans="1:30" x14ac:dyDescent="0.3">
      <c r="A330" t="s">
        <v>33</v>
      </c>
      <c r="B330">
        <v>2022</v>
      </c>
      <c r="C330" t="s">
        <v>36</v>
      </c>
      <c r="D330">
        <v>153.69999999999999</v>
      </c>
      <c r="E330">
        <v>215.8</v>
      </c>
      <c r="F330">
        <v>167.7</v>
      </c>
      <c r="G330">
        <v>162.6</v>
      </c>
      <c r="H330">
        <v>180</v>
      </c>
      <c r="I330">
        <v>159.6</v>
      </c>
      <c r="J330">
        <v>188.4</v>
      </c>
      <c r="K330">
        <v>163.4</v>
      </c>
      <c r="L330">
        <v>120.3</v>
      </c>
      <c r="M330">
        <v>174.7</v>
      </c>
      <c r="N330">
        <v>157.1</v>
      </c>
      <c r="O330">
        <v>181.5</v>
      </c>
      <c r="P330">
        <v>171.5</v>
      </c>
      <c r="Q330">
        <v>197.5</v>
      </c>
      <c r="R330">
        <v>167.1</v>
      </c>
      <c r="S330">
        <v>152.6</v>
      </c>
      <c r="T330">
        <v>164.9</v>
      </c>
      <c r="U330">
        <v>165.3</v>
      </c>
      <c r="V330">
        <v>164.5</v>
      </c>
      <c r="W330">
        <v>158.6</v>
      </c>
      <c r="X330">
        <v>168.2</v>
      </c>
      <c r="Y330">
        <v>154.19999999999999</v>
      </c>
      <c r="Z330">
        <v>160.80000000000001</v>
      </c>
      <c r="AA330">
        <v>162.69999999999999</v>
      </c>
      <c r="AB330">
        <v>166.8</v>
      </c>
      <c r="AC330">
        <v>160.6</v>
      </c>
      <c r="AD330">
        <v>166.5</v>
      </c>
    </row>
    <row r="331" spans="1:30" x14ac:dyDescent="0.3">
      <c r="A331" t="s">
        <v>34</v>
      </c>
      <c r="B331">
        <v>2022</v>
      </c>
      <c r="C331" t="s">
        <v>36</v>
      </c>
      <c r="D331">
        <v>151.30000000000001</v>
      </c>
      <c r="E331">
        <v>210.7</v>
      </c>
      <c r="F331">
        <v>167.8</v>
      </c>
      <c r="G331">
        <v>162.19999999999999</v>
      </c>
      <c r="H331">
        <v>194.6</v>
      </c>
      <c r="I331">
        <v>157.6</v>
      </c>
      <c r="J331">
        <v>166.9</v>
      </c>
      <c r="K331">
        <v>163.9</v>
      </c>
      <c r="L331">
        <v>118.8</v>
      </c>
      <c r="M331">
        <v>177.4</v>
      </c>
      <c r="N331">
        <v>165.3</v>
      </c>
      <c r="O331">
        <v>179.3</v>
      </c>
      <c r="P331">
        <v>168.4</v>
      </c>
      <c r="Q331">
        <v>193.7</v>
      </c>
      <c r="R331">
        <v>172.1</v>
      </c>
      <c r="S331">
        <v>164.6</v>
      </c>
      <c r="T331">
        <v>171.1</v>
      </c>
      <c r="U331">
        <v>165.3</v>
      </c>
      <c r="V331">
        <v>167.2</v>
      </c>
      <c r="W331">
        <v>162.80000000000001</v>
      </c>
      <c r="X331">
        <v>173</v>
      </c>
      <c r="Y331">
        <v>157.9</v>
      </c>
      <c r="Z331">
        <v>163.30000000000001</v>
      </c>
      <c r="AA331">
        <v>166</v>
      </c>
      <c r="AB331">
        <v>167.2</v>
      </c>
      <c r="AC331">
        <v>164.6</v>
      </c>
      <c r="AD331">
        <v>167.7</v>
      </c>
    </row>
    <row r="332" spans="1:30" x14ac:dyDescent="0.3">
      <c r="A332" t="s">
        <v>30</v>
      </c>
      <c r="B332">
        <v>2022</v>
      </c>
      <c r="C332" t="s">
        <v>37</v>
      </c>
      <c r="D332">
        <v>151.80000000000001</v>
      </c>
      <c r="E332">
        <v>209.7</v>
      </c>
      <c r="F332">
        <v>164.5</v>
      </c>
      <c r="G332">
        <v>163.80000000000001</v>
      </c>
      <c r="H332">
        <v>207.4</v>
      </c>
      <c r="I332">
        <v>169.7</v>
      </c>
      <c r="J332">
        <v>153.6</v>
      </c>
      <c r="K332">
        <v>165.1</v>
      </c>
      <c r="L332">
        <v>118.2</v>
      </c>
      <c r="M332">
        <v>182.9</v>
      </c>
      <c r="N332">
        <v>172.4</v>
      </c>
      <c r="O332">
        <v>178.9</v>
      </c>
      <c r="P332">
        <v>168.6</v>
      </c>
      <c r="Q332">
        <v>192.8</v>
      </c>
      <c r="R332">
        <v>177.5</v>
      </c>
      <c r="S332">
        <v>175.1</v>
      </c>
      <c r="T332">
        <v>177.1</v>
      </c>
      <c r="U332" t="s">
        <v>32</v>
      </c>
      <c r="V332">
        <v>173.3</v>
      </c>
      <c r="W332">
        <v>167.7</v>
      </c>
      <c r="X332">
        <v>177</v>
      </c>
      <c r="Y332">
        <v>166.2</v>
      </c>
      <c r="Z332">
        <v>167.2</v>
      </c>
      <c r="AA332">
        <v>170.9</v>
      </c>
      <c r="AB332">
        <v>169</v>
      </c>
      <c r="AC332">
        <v>170.2</v>
      </c>
      <c r="AD332">
        <v>170.8</v>
      </c>
    </row>
    <row r="333" spans="1:30" x14ac:dyDescent="0.3">
      <c r="A333" t="s">
        <v>33</v>
      </c>
      <c r="B333">
        <v>2022</v>
      </c>
      <c r="C333" t="s">
        <v>37</v>
      </c>
      <c r="D333">
        <v>155.4</v>
      </c>
      <c r="E333">
        <v>215.8</v>
      </c>
      <c r="F333">
        <v>164.6</v>
      </c>
      <c r="G333">
        <v>164.2</v>
      </c>
      <c r="H333">
        <v>186</v>
      </c>
      <c r="I333">
        <v>175.9</v>
      </c>
      <c r="J333">
        <v>190.7</v>
      </c>
      <c r="K333">
        <v>164</v>
      </c>
      <c r="L333">
        <v>120.5</v>
      </c>
      <c r="M333">
        <v>178</v>
      </c>
      <c r="N333">
        <v>157.5</v>
      </c>
      <c r="O333">
        <v>183.3</v>
      </c>
      <c r="P333">
        <v>174.5</v>
      </c>
      <c r="Q333">
        <v>197.1</v>
      </c>
      <c r="R333">
        <v>168.4</v>
      </c>
      <c r="S333">
        <v>154.5</v>
      </c>
      <c r="T333">
        <v>166.3</v>
      </c>
      <c r="U333">
        <v>167</v>
      </c>
      <c r="V333">
        <v>170.5</v>
      </c>
      <c r="W333">
        <v>159.80000000000001</v>
      </c>
      <c r="X333">
        <v>169</v>
      </c>
      <c r="Y333">
        <v>159.30000000000001</v>
      </c>
      <c r="Z333">
        <v>162.19999999999999</v>
      </c>
      <c r="AA333">
        <v>164</v>
      </c>
      <c r="AB333">
        <v>168.4</v>
      </c>
      <c r="AC333">
        <v>163.1</v>
      </c>
      <c r="AD333">
        <v>169.2</v>
      </c>
    </row>
    <row r="334" spans="1:30" x14ac:dyDescent="0.3">
      <c r="A334" t="s">
        <v>34</v>
      </c>
      <c r="B334">
        <v>2022</v>
      </c>
      <c r="C334" t="s">
        <v>37</v>
      </c>
      <c r="D334">
        <v>152.9</v>
      </c>
      <c r="E334">
        <v>211.8</v>
      </c>
      <c r="F334">
        <v>164.5</v>
      </c>
      <c r="G334">
        <v>163.9</v>
      </c>
      <c r="H334">
        <v>199.5</v>
      </c>
      <c r="I334">
        <v>172.6</v>
      </c>
      <c r="J334">
        <v>166.2</v>
      </c>
      <c r="K334">
        <v>164.7</v>
      </c>
      <c r="L334">
        <v>119</v>
      </c>
      <c r="M334">
        <v>181.3</v>
      </c>
      <c r="N334">
        <v>166.2</v>
      </c>
      <c r="O334">
        <v>180.9</v>
      </c>
      <c r="P334">
        <v>170.8</v>
      </c>
      <c r="Q334">
        <v>193.9</v>
      </c>
      <c r="R334">
        <v>173.9</v>
      </c>
      <c r="S334">
        <v>166.5</v>
      </c>
      <c r="T334">
        <v>172.8</v>
      </c>
      <c r="U334">
        <v>167</v>
      </c>
      <c r="V334">
        <v>172.2</v>
      </c>
      <c r="W334">
        <v>164</v>
      </c>
      <c r="X334">
        <v>174</v>
      </c>
      <c r="Y334">
        <v>162.6</v>
      </c>
      <c r="Z334">
        <v>164.4</v>
      </c>
      <c r="AA334">
        <v>166.9</v>
      </c>
      <c r="AB334">
        <v>168.8</v>
      </c>
      <c r="AC334">
        <v>166.8</v>
      </c>
      <c r="AD334">
        <v>170.1</v>
      </c>
    </row>
    <row r="335" spans="1:30" x14ac:dyDescent="0.3">
      <c r="A335" t="s">
        <v>30</v>
      </c>
      <c r="B335">
        <v>2022</v>
      </c>
      <c r="C335" t="s">
        <v>38</v>
      </c>
      <c r="D335">
        <v>152.9</v>
      </c>
      <c r="E335">
        <v>214.7</v>
      </c>
      <c r="F335">
        <v>161.4</v>
      </c>
      <c r="G335">
        <v>164.6</v>
      </c>
      <c r="H335">
        <v>209.9</v>
      </c>
      <c r="I335">
        <v>168</v>
      </c>
      <c r="J335">
        <v>160.4</v>
      </c>
      <c r="K335">
        <v>165</v>
      </c>
      <c r="L335">
        <v>118.9</v>
      </c>
      <c r="M335">
        <v>186.6</v>
      </c>
      <c r="N335">
        <v>173.2</v>
      </c>
      <c r="O335">
        <v>180.4</v>
      </c>
      <c r="P335">
        <v>170.8</v>
      </c>
      <c r="Q335">
        <v>192.9</v>
      </c>
      <c r="R335">
        <v>179.3</v>
      </c>
      <c r="S335">
        <v>177.2</v>
      </c>
      <c r="T335">
        <v>179</v>
      </c>
      <c r="U335" t="s">
        <v>32</v>
      </c>
      <c r="V335">
        <v>175.3</v>
      </c>
      <c r="W335">
        <v>168.9</v>
      </c>
      <c r="X335">
        <v>177.7</v>
      </c>
      <c r="Y335">
        <v>167.1</v>
      </c>
      <c r="Z335">
        <v>167.6</v>
      </c>
      <c r="AA335">
        <v>171.8</v>
      </c>
      <c r="AB335">
        <v>168.5</v>
      </c>
      <c r="AC335">
        <v>170.9</v>
      </c>
      <c r="AD335">
        <v>172.5</v>
      </c>
    </row>
    <row r="336" spans="1:30" x14ac:dyDescent="0.3">
      <c r="A336" t="s">
        <v>33</v>
      </c>
      <c r="B336">
        <v>2022</v>
      </c>
      <c r="C336" t="s">
        <v>38</v>
      </c>
      <c r="D336">
        <v>156.69999999999999</v>
      </c>
      <c r="E336">
        <v>221.2</v>
      </c>
      <c r="F336">
        <v>164.1</v>
      </c>
      <c r="G336">
        <v>165.4</v>
      </c>
      <c r="H336">
        <v>189.5</v>
      </c>
      <c r="I336">
        <v>174.5</v>
      </c>
      <c r="J336">
        <v>203.2</v>
      </c>
      <c r="K336">
        <v>164.1</v>
      </c>
      <c r="L336">
        <v>121.2</v>
      </c>
      <c r="M336">
        <v>181.4</v>
      </c>
      <c r="N336">
        <v>158.5</v>
      </c>
      <c r="O336">
        <v>184.9</v>
      </c>
      <c r="P336">
        <v>177.5</v>
      </c>
      <c r="Q336">
        <v>197.5</v>
      </c>
      <c r="R336">
        <v>170</v>
      </c>
      <c r="S336">
        <v>155.9</v>
      </c>
      <c r="T336">
        <v>167.8</v>
      </c>
      <c r="U336">
        <v>167.5</v>
      </c>
      <c r="V336">
        <v>173.5</v>
      </c>
      <c r="W336">
        <v>161.1</v>
      </c>
      <c r="X336">
        <v>170.1</v>
      </c>
      <c r="Y336">
        <v>159.4</v>
      </c>
      <c r="Z336">
        <v>163.19999999999999</v>
      </c>
      <c r="AA336">
        <v>165.2</v>
      </c>
      <c r="AB336">
        <v>168.2</v>
      </c>
      <c r="AC336">
        <v>163.80000000000001</v>
      </c>
      <c r="AD336">
        <v>170.8</v>
      </c>
    </row>
    <row r="337" spans="1:30" x14ac:dyDescent="0.3">
      <c r="A337" t="s">
        <v>34</v>
      </c>
      <c r="B337">
        <v>2022</v>
      </c>
      <c r="C337" t="s">
        <v>38</v>
      </c>
      <c r="D337">
        <v>154.1</v>
      </c>
      <c r="E337">
        <v>217</v>
      </c>
      <c r="F337">
        <v>162.4</v>
      </c>
      <c r="G337">
        <v>164.9</v>
      </c>
      <c r="H337">
        <v>202.4</v>
      </c>
      <c r="I337">
        <v>171</v>
      </c>
      <c r="J337">
        <v>174.9</v>
      </c>
      <c r="K337">
        <v>164.7</v>
      </c>
      <c r="L337">
        <v>119.7</v>
      </c>
      <c r="M337">
        <v>184.9</v>
      </c>
      <c r="N337">
        <v>167.1</v>
      </c>
      <c r="O337">
        <v>182.5</v>
      </c>
      <c r="P337">
        <v>173.3</v>
      </c>
      <c r="Q337">
        <v>194.1</v>
      </c>
      <c r="R337">
        <v>175.6</v>
      </c>
      <c r="S337">
        <v>168.4</v>
      </c>
      <c r="T337">
        <v>174.6</v>
      </c>
      <c r="U337">
        <v>167.5</v>
      </c>
      <c r="V337">
        <v>174.6</v>
      </c>
      <c r="W337">
        <v>165.2</v>
      </c>
      <c r="X337">
        <v>174.8</v>
      </c>
      <c r="Y337">
        <v>163</v>
      </c>
      <c r="Z337">
        <v>165.1</v>
      </c>
      <c r="AA337">
        <v>167.9</v>
      </c>
      <c r="AB337">
        <v>168.4</v>
      </c>
      <c r="AC337">
        <v>167.5</v>
      </c>
      <c r="AD337">
        <v>171.7</v>
      </c>
    </row>
    <row r="338" spans="1:30" x14ac:dyDescent="0.3">
      <c r="A338" t="s">
        <v>30</v>
      </c>
      <c r="B338">
        <v>2022</v>
      </c>
      <c r="C338" t="s">
        <v>39</v>
      </c>
      <c r="D338">
        <v>153.80000000000001</v>
      </c>
      <c r="E338">
        <v>217.2</v>
      </c>
      <c r="F338">
        <v>169.6</v>
      </c>
      <c r="G338">
        <v>165.4</v>
      </c>
      <c r="H338">
        <v>208.1</v>
      </c>
      <c r="I338">
        <v>165.8</v>
      </c>
      <c r="J338">
        <v>167.3</v>
      </c>
      <c r="K338">
        <v>164.6</v>
      </c>
      <c r="L338">
        <v>119.1</v>
      </c>
      <c r="M338">
        <v>188.9</v>
      </c>
      <c r="N338">
        <v>174.2</v>
      </c>
      <c r="O338">
        <v>181.9</v>
      </c>
      <c r="P338">
        <v>172.4</v>
      </c>
      <c r="Q338">
        <v>192.9</v>
      </c>
      <c r="R338">
        <v>180.7</v>
      </c>
      <c r="S338">
        <v>178.7</v>
      </c>
      <c r="T338">
        <v>180.4</v>
      </c>
      <c r="U338" t="s">
        <v>32</v>
      </c>
      <c r="V338">
        <v>176.7</v>
      </c>
      <c r="W338">
        <v>170.3</v>
      </c>
      <c r="X338">
        <v>178.2</v>
      </c>
      <c r="Y338">
        <v>165.5</v>
      </c>
      <c r="Z338">
        <v>168</v>
      </c>
      <c r="AA338">
        <v>172.6</v>
      </c>
      <c r="AB338">
        <v>169.5</v>
      </c>
      <c r="AC338">
        <v>171</v>
      </c>
      <c r="AD338">
        <v>173.6</v>
      </c>
    </row>
    <row r="339" spans="1:30" x14ac:dyDescent="0.3">
      <c r="A339" t="s">
        <v>33</v>
      </c>
      <c r="B339">
        <v>2022</v>
      </c>
      <c r="C339" t="s">
        <v>39</v>
      </c>
      <c r="D339">
        <v>157.5</v>
      </c>
      <c r="E339">
        <v>223.4</v>
      </c>
      <c r="F339">
        <v>172.8</v>
      </c>
      <c r="G339">
        <v>166.4</v>
      </c>
      <c r="H339">
        <v>188.6</v>
      </c>
      <c r="I339">
        <v>174.1</v>
      </c>
      <c r="J339">
        <v>211.5</v>
      </c>
      <c r="K339">
        <v>163.6</v>
      </c>
      <c r="L339">
        <v>121.4</v>
      </c>
      <c r="M339">
        <v>183.5</v>
      </c>
      <c r="N339">
        <v>159.1</v>
      </c>
      <c r="O339">
        <v>186.3</v>
      </c>
      <c r="P339">
        <v>179.3</v>
      </c>
      <c r="Q339">
        <v>198.3</v>
      </c>
      <c r="R339">
        <v>171.6</v>
      </c>
      <c r="S339">
        <v>157.4</v>
      </c>
      <c r="T339">
        <v>169.4</v>
      </c>
      <c r="U339">
        <v>166.8</v>
      </c>
      <c r="V339">
        <v>174.9</v>
      </c>
      <c r="W339">
        <v>162.1</v>
      </c>
      <c r="X339">
        <v>170.9</v>
      </c>
      <c r="Y339">
        <v>157.19999999999999</v>
      </c>
      <c r="Z339">
        <v>164.1</v>
      </c>
      <c r="AA339">
        <v>166.5</v>
      </c>
      <c r="AB339">
        <v>169.2</v>
      </c>
      <c r="AC339">
        <v>163.80000000000001</v>
      </c>
      <c r="AD339">
        <v>171.4</v>
      </c>
    </row>
    <row r="340" spans="1:30" x14ac:dyDescent="0.3">
      <c r="A340" t="s">
        <v>34</v>
      </c>
      <c r="B340">
        <v>2022</v>
      </c>
      <c r="C340" t="s">
        <v>39</v>
      </c>
      <c r="D340">
        <v>155</v>
      </c>
      <c r="E340">
        <v>219.4</v>
      </c>
      <c r="F340">
        <v>170.8</v>
      </c>
      <c r="G340">
        <v>165.8</v>
      </c>
      <c r="H340">
        <v>200.9</v>
      </c>
      <c r="I340">
        <v>169.7</v>
      </c>
      <c r="J340">
        <v>182.3</v>
      </c>
      <c r="K340">
        <v>164.3</v>
      </c>
      <c r="L340">
        <v>119.9</v>
      </c>
      <c r="M340">
        <v>187.1</v>
      </c>
      <c r="N340">
        <v>167.9</v>
      </c>
      <c r="O340">
        <v>183.9</v>
      </c>
      <c r="P340">
        <v>174.9</v>
      </c>
      <c r="Q340">
        <v>194.3</v>
      </c>
      <c r="R340">
        <v>177.1</v>
      </c>
      <c r="S340">
        <v>169.9</v>
      </c>
      <c r="T340">
        <v>176</v>
      </c>
      <c r="U340">
        <v>166.8</v>
      </c>
      <c r="V340">
        <v>176</v>
      </c>
      <c r="W340">
        <v>166.4</v>
      </c>
      <c r="X340">
        <v>175.4</v>
      </c>
      <c r="Y340">
        <v>161.1</v>
      </c>
      <c r="Z340">
        <v>165.8</v>
      </c>
      <c r="AA340">
        <v>169</v>
      </c>
      <c r="AB340">
        <v>169.4</v>
      </c>
      <c r="AC340">
        <v>167.5</v>
      </c>
      <c r="AD340">
        <v>172.6</v>
      </c>
    </row>
    <row r="341" spans="1:30" x14ac:dyDescent="0.3">
      <c r="A341" t="s">
        <v>30</v>
      </c>
      <c r="B341">
        <v>2022</v>
      </c>
      <c r="C341" t="s">
        <v>40</v>
      </c>
      <c r="D341">
        <v>155.19999999999999</v>
      </c>
      <c r="E341">
        <v>210.8</v>
      </c>
      <c r="F341">
        <v>174.3</v>
      </c>
      <c r="G341">
        <v>166.3</v>
      </c>
      <c r="H341">
        <v>202.2</v>
      </c>
      <c r="I341">
        <v>169.6</v>
      </c>
      <c r="J341">
        <v>168.6</v>
      </c>
      <c r="K341">
        <v>164.4</v>
      </c>
      <c r="L341">
        <v>119.2</v>
      </c>
      <c r="M341">
        <v>191.8</v>
      </c>
      <c r="N341">
        <v>174.5</v>
      </c>
      <c r="O341">
        <v>183.1</v>
      </c>
      <c r="P341">
        <v>172.5</v>
      </c>
      <c r="Q341">
        <v>193.2</v>
      </c>
      <c r="R341">
        <v>182</v>
      </c>
      <c r="S341">
        <v>180.3</v>
      </c>
      <c r="T341">
        <v>181.7</v>
      </c>
      <c r="U341" t="s">
        <v>32</v>
      </c>
      <c r="V341">
        <v>179.6</v>
      </c>
      <c r="W341">
        <v>171.3</v>
      </c>
      <c r="X341">
        <v>178.8</v>
      </c>
      <c r="Y341">
        <v>166.3</v>
      </c>
      <c r="Z341">
        <v>168.6</v>
      </c>
      <c r="AA341">
        <v>174.7</v>
      </c>
      <c r="AB341">
        <v>169.7</v>
      </c>
      <c r="AC341">
        <v>171.8</v>
      </c>
      <c r="AD341">
        <v>174.3</v>
      </c>
    </row>
    <row r="342" spans="1:30" x14ac:dyDescent="0.3">
      <c r="A342" t="s">
        <v>33</v>
      </c>
      <c r="B342">
        <v>2022</v>
      </c>
      <c r="C342" t="s">
        <v>40</v>
      </c>
      <c r="D342">
        <v>159.30000000000001</v>
      </c>
      <c r="E342">
        <v>217.1</v>
      </c>
      <c r="F342">
        <v>176.6</v>
      </c>
      <c r="G342">
        <v>167.1</v>
      </c>
      <c r="H342">
        <v>184.8</v>
      </c>
      <c r="I342">
        <v>179.5</v>
      </c>
      <c r="J342">
        <v>208.5</v>
      </c>
      <c r="K342">
        <v>164</v>
      </c>
      <c r="L342">
        <v>121.5</v>
      </c>
      <c r="M342">
        <v>186.3</v>
      </c>
      <c r="N342">
        <v>159.80000000000001</v>
      </c>
      <c r="O342">
        <v>187.7</v>
      </c>
      <c r="P342">
        <v>179.4</v>
      </c>
      <c r="Q342">
        <v>198.6</v>
      </c>
      <c r="R342">
        <v>172.7</v>
      </c>
      <c r="S342">
        <v>158.69999999999999</v>
      </c>
      <c r="T342">
        <v>170.6</v>
      </c>
      <c r="U342">
        <v>167.8</v>
      </c>
      <c r="V342">
        <v>179.5</v>
      </c>
      <c r="W342">
        <v>163.1</v>
      </c>
      <c r="X342">
        <v>171.7</v>
      </c>
      <c r="Y342">
        <v>157.4</v>
      </c>
      <c r="Z342">
        <v>164.6</v>
      </c>
      <c r="AA342">
        <v>169.1</v>
      </c>
      <c r="AB342">
        <v>169.8</v>
      </c>
      <c r="AC342">
        <v>164.7</v>
      </c>
      <c r="AD342">
        <v>172.3</v>
      </c>
    </row>
    <row r="343" spans="1:30" x14ac:dyDescent="0.3">
      <c r="A343" t="s">
        <v>34</v>
      </c>
      <c r="B343">
        <v>2022</v>
      </c>
      <c r="C343" t="s">
        <v>40</v>
      </c>
      <c r="D343">
        <v>156.5</v>
      </c>
      <c r="E343">
        <v>213</v>
      </c>
      <c r="F343">
        <v>175.2</v>
      </c>
      <c r="G343">
        <v>166.6</v>
      </c>
      <c r="H343">
        <v>195.8</v>
      </c>
      <c r="I343">
        <v>174.2</v>
      </c>
      <c r="J343">
        <v>182.1</v>
      </c>
      <c r="K343">
        <v>164.3</v>
      </c>
      <c r="L343">
        <v>120</v>
      </c>
      <c r="M343">
        <v>190</v>
      </c>
      <c r="N343">
        <v>168.4</v>
      </c>
      <c r="O343">
        <v>185.2</v>
      </c>
      <c r="P343">
        <v>175</v>
      </c>
      <c r="Q343">
        <v>194.6</v>
      </c>
      <c r="R343">
        <v>178.3</v>
      </c>
      <c r="S343">
        <v>171.3</v>
      </c>
      <c r="T343">
        <v>177.3</v>
      </c>
      <c r="U343">
        <v>167.8</v>
      </c>
      <c r="V343">
        <v>179.6</v>
      </c>
      <c r="W343">
        <v>167.4</v>
      </c>
      <c r="X343">
        <v>176.1</v>
      </c>
      <c r="Y343">
        <v>161.6</v>
      </c>
      <c r="Z343">
        <v>166.3</v>
      </c>
      <c r="AA343">
        <v>171.4</v>
      </c>
      <c r="AB343">
        <v>169.7</v>
      </c>
      <c r="AC343">
        <v>168.4</v>
      </c>
      <c r="AD343">
        <v>173.4</v>
      </c>
    </row>
    <row r="344" spans="1:30" x14ac:dyDescent="0.3">
      <c r="A344" t="s">
        <v>30</v>
      </c>
      <c r="B344">
        <v>2022</v>
      </c>
      <c r="C344" t="s">
        <v>41</v>
      </c>
      <c r="D344">
        <v>159.5</v>
      </c>
      <c r="E344">
        <v>204.1</v>
      </c>
      <c r="F344">
        <v>168.3</v>
      </c>
      <c r="G344">
        <v>167.9</v>
      </c>
      <c r="H344">
        <v>198.1</v>
      </c>
      <c r="I344">
        <v>169.2</v>
      </c>
      <c r="J344">
        <v>173.1</v>
      </c>
      <c r="K344">
        <v>167.1</v>
      </c>
      <c r="L344">
        <v>120.2</v>
      </c>
      <c r="M344">
        <v>195.6</v>
      </c>
      <c r="N344">
        <v>174.8</v>
      </c>
      <c r="O344">
        <v>184</v>
      </c>
      <c r="P344">
        <v>173.9</v>
      </c>
      <c r="Q344">
        <v>193.7</v>
      </c>
      <c r="R344">
        <v>183.2</v>
      </c>
      <c r="S344">
        <v>181.7</v>
      </c>
      <c r="T344">
        <v>183</v>
      </c>
      <c r="U344" t="s">
        <v>32</v>
      </c>
      <c r="V344">
        <v>179.1</v>
      </c>
      <c r="W344">
        <v>172.3</v>
      </c>
      <c r="X344">
        <v>179.4</v>
      </c>
      <c r="Y344">
        <v>166.6</v>
      </c>
      <c r="Z344">
        <v>169.3</v>
      </c>
      <c r="AA344">
        <v>175.7</v>
      </c>
      <c r="AB344">
        <v>171.1</v>
      </c>
      <c r="AC344">
        <v>172.6</v>
      </c>
      <c r="AD344">
        <v>175.3</v>
      </c>
    </row>
    <row r="345" spans="1:30" x14ac:dyDescent="0.3">
      <c r="A345" t="s">
        <v>33</v>
      </c>
      <c r="B345">
        <v>2022</v>
      </c>
      <c r="C345" t="s">
        <v>41</v>
      </c>
      <c r="D345">
        <v>162.1</v>
      </c>
      <c r="E345">
        <v>210.9</v>
      </c>
      <c r="F345">
        <v>170.6</v>
      </c>
      <c r="G345">
        <v>168.4</v>
      </c>
      <c r="H345">
        <v>182.5</v>
      </c>
      <c r="I345">
        <v>177.1</v>
      </c>
      <c r="J345">
        <v>213.1</v>
      </c>
      <c r="K345">
        <v>167.3</v>
      </c>
      <c r="L345">
        <v>122.2</v>
      </c>
      <c r="M345">
        <v>189.7</v>
      </c>
      <c r="N345">
        <v>160.5</v>
      </c>
      <c r="O345">
        <v>188.9</v>
      </c>
      <c r="P345">
        <v>180.4</v>
      </c>
      <c r="Q345">
        <v>198.7</v>
      </c>
      <c r="R345">
        <v>173.7</v>
      </c>
      <c r="S345">
        <v>160</v>
      </c>
      <c r="T345">
        <v>171.6</v>
      </c>
      <c r="U345">
        <v>169</v>
      </c>
      <c r="V345">
        <v>178.4</v>
      </c>
      <c r="W345">
        <v>164.2</v>
      </c>
      <c r="X345">
        <v>172.6</v>
      </c>
      <c r="Y345">
        <v>157.69999999999999</v>
      </c>
      <c r="Z345">
        <v>165.1</v>
      </c>
      <c r="AA345">
        <v>169.9</v>
      </c>
      <c r="AB345">
        <v>171.4</v>
      </c>
      <c r="AC345">
        <v>165.4</v>
      </c>
      <c r="AD345">
        <v>173.1</v>
      </c>
    </row>
    <row r="346" spans="1:30" x14ac:dyDescent="0.3">
      <c r="A346" t="s">
        <v>34</v>
      </c>
      <c r="B346">
        <v>2022</v>
      </c>
      <c r="C346" t="s">
        <v>41</v>
      </c>
      <c r="D346">
        <v>160.30000000000001</v>
      </c>
      <c r="E346">
        <v>206.5</v>
      </c>
      <c r="F346">
        <v>169.2</v>
      </c>
      <c r="G346">
        <v>168.1</v>
      </c>
      <c r="H346">
        <v>192.4</v>
      </c>
      <c r="I346">
        <v>172.9</v>
      </c>
      <c r="J346">
        <v>186.7</v>
      </c>
      <c r="K346">
        <v>167.2</v>
      </c>
      <c r="L346">
        <v>120.9</v>
      </c>
      <c r="M346">
        <v>193.6</v>
      </c>
      <c r="N346">
        <v>168.8</v>
      </c>
      <c r="O346">
        <v>186.3</v>
      </c>
      <c r="P346">
        <v>176.3</v>
      </c>
      <c r="Q346">
        <v>195</v>
      </c>
      <c r="R346">
        <v>179.5</v>
      </c>
      <c r="S346">
        <v>172.7</v>
      </c>
      <c r="T346">
        <v>178.5</v>
      </c>
      <c r="U346">
        <v>169</v>
      </c>
      <c r="V346">
        <v>178.8</v>
      </c>
      <c r="W346">
        <v>168.5</v>
      </c>
      <c r="X346">
        <v>176.8</v>
      </c>
      <c r="Y346">
        <v>161.9</v>
      </c>
      <c r="Z346">
        <v>166.9</v>
      </c>
      <c r="AA346">
        <v>172.3</v>
      </c>
      <c r="AB346">
        <v>171.2</v>
      </c>
      <c r="AC346">
        <v>169.1</v>
      </c>
      <c r="AD346">
        <v>174.3</v>
      </c>
    </row>
    <row r="347" spans="1:30" x14ac:dyDescent="0.3">
      <c r="A347" t="s">
        <v>30</v>
      </c>
      <c r="B347">
        <v>2022</v>
      </c>
      <c r="C347" t="s">
        <v>42</v>
      </c>
      <c r="D347">
        <v>162.9</v>
      </c>
      <c r="E347">
        <v>206.7</v>
      </c>
      <c r="F347">
        <v>169</v>
      </c>
      <c r="G347">
        <v>169.5</v>
      </c>
      <c r="H347">
        <v>194.1</v>
      </c>
      <c r="I347">
        <v>164.1</v>
      </c>
      <c r="J347">
        <v>176.9</v>
      </c>
      <c r="K347">
        <v>169</v>
      </c>
      <c r="L347">
        <v>120.8</v>
      </c>
      <c r="M347">
        <v>199.1</v>
      </c>
      <c r="N347">
        <v>175.4</v>
      </c>
      <c r="O347">
        <v>184.8</v>
      </c>
      <c r="P347">
        <v>175.5</v>
      </c>
      <c r="Q347">
        <v>194.5</v>
      </c>
      <c r="R347">
        <v>184.7</v>
      </c>
      <c r="S347">
        <v>183.3</v>
      </c>
      <c r="T347">
        <v>184.5</v>
      </c>
      <c r="U347" t="s">
        <v>32</v>
      </c>
      <c r="V347">
        <v>179.7</v>
      </c>
      <c r="W347">
        <v>173.6</v>
      </c>
      <c r="X347">
        <v>180.2</v>
      </c>
      <c r="Y347">
        <v>166.9</v>
      </c>
      <c r="Z347">
        <v>170</v>
      </c>
      <c r="AA347">
        <v>176.2</v>
      </c>
      <c r="AB347">
        <v>170.8</v>
      </c>
      <c r="AC347">
        <v>173.1</v>
      </c>
      <c r="AD347">
        <v>176.4</v>
      </c>
    </row>
    <row r="348" spans="1:30" x14ac:dyDescent="0.3">
      <c r="A348" t="s">
        <v>33</v>
      </c>
      <c r="B348">
        <v>2022</v>
      </c>
      <c r="C348" t="s">
        <v>42</v>
      </c>
      <c r="D348">
        <v>164.9</v>
      </c>
      <c r="E348">
        <v>213.7</v>
      </c>
      <c r="F348">
        <v>170.9</v>
      </c>
      <c r="G348">
        <v>170.1</v>
      </c>
      <c r="H348">
        <v>179.3</v>
      </c>
      <c r="I348">
        <v>167.5</v>
      </c>
      <c r="J348">
        <v>220.8</v>
      </c>
      <c r="K348">
        <v>169.2</v>
      </c>
      <c r="L348">
        <v>123.1</v>
      </c>
      <c r="M348">
        <v>193.6</v>
      </c>
      <c r="N348">
        <v>161.1</v>
      </c>
      <c r="O348">
        <v>190.4</v>
      </c>
      <c r="P348">
        <v>181.8</v>
      </c>
      <c r="Q348">
        <v>199.7</v>
      </c>
      <c r="R348">
        <v>175</v>
      </c>
      <c r="S348">
        <v>161.69999999999999</v>
      </c>
      <c r="T348">
        <v>173</v>
      </c>
      <c r="U348">
        <v>169.5</v>
      </c>
      <c r="V348">
        <v>179.2</v>
      </c>
      <c r="W348">
        <v>165</v>
      </c>
      <c r="X348">
        <v>173.8</v>
      </c>
      <c r="Y348">
        <v>158.19999999999999</v>
      </c>
      <c r="Z348">
        <v>165.8</v>
      </c>
      <c r="AA348">
        <v>170.9</v>
      </c>
      <c r="AB348">
        <v>171.1</v>
      </c>
      <c r="AC348">
        <v>166.1</v>
      </c>
      <c r="AD348">
        <v>174.1</v>
      </c>
    </row>
    <row r="349" spans="1:30" x14ac:dyDescent="0.3">
      <c r="A349" t="s">
        <v>34</v>
      </c>
      <c r="B349">
        <v>2022</v>
      </c>
      <c r="C349" t="s">
        <v>42</v>
      </c>
      <c r="D349">
        <v>163.5</v>
      </c>
      <c r="E349">
        <v>209.2</v>
      </c>
      <c r="F349">
        <v>169.7</v>
      </c>
      <c r="G349">
        <v>169.7</v>
      </c>
      <c r="H349">
        <v>188.7</v>
      </c>
      <c r="I349">
        <v>165.7</v>
      </c>
      <c r="J349">
        <v>191.8</v>
      </c>
      <c r="K349">
        <v>169.1</v>
      </c>
      <c r="L349">
        <v>121.6</v>
      </c>
      <c r="M349">
        <v>197.3</v>
      </c>
      <c r="N349">
        <v>169.4</v>
      </c>
      <c r="O349">
        <v>187.4</v>
      </c>
      <c r="P349">
        <v>177.8</v>
      </c>
      <c r="Q349">
        <v>195.9</v>
      </c>
      <c r="R349">
        <v>180.9</v>
      </c>
      <c r="S349">
        <v>174.3</v>
      </c>
      <c r="T349">
        <v>179.9</v>
      </c>
      <c r="U349">
        <v>169.5</v>
      </c>
      <c r="V349">
        <v>179.5</v>
      </c>
      <c r="W349">
        <v>169.5</v>
      </c>
      <c r="X349">
        <v>177.8</v>
      </c>
      <c r="Y349">
        <v>162.30000000000001</v>
      </c>
      <c r="Z349">
        <v>167.6</v>
      </c>
      <c r="AA349">
        <v>173.1</v>
      </c>
      <c r="AB349">
        <v>170.9</v>
      </c>
      <c r="AC349">
        <v>169.7</v>
      </c>
      <c r="AD349">
        <v>175.3</v>
      </c>
    </row>
    <row r="350" spans="1:30" x14ac:dyDescent="0.3">
      <c r="A350" t="s">
        <v>30</v>
      </c>
      <c r="B350">
        <v>2022</v>
      </c>
      <c r="C350" t="s">
        <v>43</v>
      </c>
      <c r="D350">
        <v>164.7</v>
      </c>
      <c r="E350">
        <v>208.8</v>
      </c>
      <c r="F350">
        <v>170.3</v>
      </c>
      <c r="G350">
        <v>170.9</v>
      </c>
      <c r="H350">
        <v>191.6</v>
      </c>
      <c r="I350">
        <v>162.19999999999999</v>
      </c>
      <c r="J350">
        <v>184.8</v>
      </c>
      <c r="K350">
        <v>169.7</v>
      </c>
      <c r="L350">
        <v>121.1</v>
      </c>
      <c r="M350">
        <v>201.6</v>
      </c>
      <c r="N350">
        <v>175.8</v>
      </c>
      <c r="O350">
        <v>185.6</v>
      </c>
      <c r="P350">
        <v>177.4</v>
      </c>
      <c r="Q350">
        <v>194.9</v>
      </c>
      <c r="R350">
        <v>186.1</v>
      </c>
      <c r="S350">
        <v>184.4</v>
      </c>
      <c r="T350">
        <v>185.9</v>
      </c>
      <c r="U350" t="s">
        <v>32</v>
      </c>
      <c r="V350">
        <v>180.8</v>
      </c>
      <c r="W350">
        <v>174.4</v>
      </c>
      <c r="X350">
        <v>181.2</v>
      </c>
      <c r="Y350">
        <v>167.4</v>
      </c>
      <c r="Z350">
        <v>170.6</v>
      </c>
      <c r="AA350">
        <v>176.5</v>
      </c>
      <c r="AB350">
        <v>172</v>
      </c>
      <c r="AC350">
        <v>173.9</v>
      </c>
      <c r="AD350">
        <v>177.9</v>
      </c>
    </row>
    <row r="351" spans="1:30" x14ac:dyDescent="0.3">
      <c r="A351" t="s">
        <v>33</v>
      </c>
      <c r="B351">
        <v>2022</v>
      </c>
      <c r="C351" t="s">
        <v>43</v>
      </c>
      <c r="D351">
        <v>166.4</v>
      </c>
      <c r="E351">
        <v>214.9</v>
      </c>
      <c r="F351">
        <v>171.9</v>
      </c>
      <c r="G351">
        <v>171</v>
      </c>
      <c r="H351">
        <v>177.7</v>
      </c>
      <c r="I351">
        <v>165.7</v>
      </c>
      <c r="J351">
        <v>228.6</v>
      </c>
      <c r="K351">
        <v>169.9</v>
      </c>
      <c r="L351">
        <v>123.4</v>
      </c>
      <c r="M351">
        <v>196.4</v>
      </c>
      <c r="N351">
        <v>161.6</v>
      </c>
      <c r="O351">
        <v>191.5</v>
      </c>
      <c r="P351">
        <v>183.3</v>
      </c>
      <c r="Q351">
        <v>200.1</v>
      </c>
      <c r="R351">
        <v>175.5</v>
      </c>
      <c r="S351">
        <v>162.6</v>
      </c>
      <c r="T351">
        <v>173.6</v>
      </c>
      <c r="U351">
        <v>171.2</v>
      </c>
      <c r="V351">
        <v>180</v>
      </c>
      <c r="W351">
        <v>166</v>
      </c>
      <c r="X351">
        <v>174.7</v>
      </c>
      <c r="Y351">
        <v>158.80000000000001</v>
      </c>
      <c r="Z351">
        <v>166.3</v>
      </c>
      <c r="AA351">
        <v>171.2</v>
      </c>
      <c r="AB351">
        <v>172.3</v>
      </c>
      <c r="AC351">
        <v>166.8</v>
      </c>
      <c r="AD351">
        <v>175.3</v>
      </c>
    </row>
    <row r="352" spans="1:30" x14ac:dyDescent="0.3">
      <c r="A352" t="s">
        <v>34</v>
      </c>
      <c r="B352">
        <v>2022</v>
      </c>
      <c r="C352" t="s">
        <v>43</v>
      </c>
      <c r="D352">
        <v>165.2</v>
      </c>
      <c r="E352">
        <v>210.9</v>
      </c>
      <c r="F352">
        <v>170.9</v>
      </c>
      <c r="G352">
        <v>170.9</v>
      </c>
      <c r="H352">
        <v>186.5</v>
      </c>
      <c r="I352">
        <v>163.80000000000001</v>
      </c>
      <c r="J352">
        <v>199.7</v>
      </c>
      <c r="K352">
        <v>169.8</v>
      </c>
      <c r="L352">
        <v>121.9</v>
      </c>
      <c r="M352">
        <v>199.9</v>
      </c>
      <c r="N352">
        <v>169.9</v>
      </c>
      <c r="O352">
        <v>188.3</v>
      </c>
      <c r="P352">
        <v>179.6</v>
      </c>
      <c r="Q352">
        <v>196.3</v>
      </c>
      <c r="R352">
        <v>181.9</v>
      </c>
      <c r="S352">
        <v>175.3</v>
      </c>
      <c r="T352">
        <v>181</v>
      </c>
      <c r="U352">
        <v>171.2</v>
      </c>
      <c r="V352">
        <v>180.5</v>
      </c>
      <c r="W352">
        <v>170.4</v>
      </c>
      <c r="X352">
        <v>178.7</v>
      </c>
      <c r="Y352">
        <v>162.9</v>
      </c>
      <c r="Z352">
        <v>168.2</v>
      </c>
      <c r="AA352">
        <v>173.4</v>
      </c>
      <c r="AB352">
        <v>172.1</v>
      </c>
      <c r="AC352">
        <v>170.5</v>
      </c>
      <c r="AD352">
        <v>176.7</v>
      </c>
    </row>
    <row r="353" spans="1:30" x14ac:dyDescent="0.3">
      <c r="A353" t="s">
        <v>30</v>
      </c>
      <c r="B353">
        <v>2022</v>
      </c>
      <c r="C353" t="s">
        <v>45</v>
      </c>
      <c r="D353">
        <v>166.9</v>
      </c>
      <c r="E353">
        <v>207.2</v>
      </c>
      <c r="F353">
        <v>180.2</v>
      </c>
      <c r="G353">
        <v>172.3</v>
      </c>
      <c r="H353">
        <v>194</v>
      </c>
      <c r="I353">
        <v>159.1</v>
      </c>
      <c r="J353">
        <v>171.6</v>
      </c>
      <c r="K353">
        <v>170.2</v>
      </c>
      <c r="L353">
        <v>121.5</v>
      </c>
      <c r="M353">
        <v>204.8</v>
      </c>
      <c r="N353">
        <v>176.4</v>
      </c>
      <c r="O353">
        <v>186.9</v>
      </c>
      <c r="P353">
        <v>176.6</v>
      </c>
      <c r="Q353">
        <v>195.5</v>
      </c>
      <c r="R353">
        <v>187.2</v>
      </c>
      <c r="S353">
        <v>185.2</v>
      </c>
      <c r="T353">
        <v>186.9</v>
      </c>
      <c r="U353" t="s">
        <v>32</v>
      </c>
      <c r="V353">
        <v>181.9</v>
      </c>
      <c r="W353">
        <v>175.5</v>
      </c>
      <c r="X353">
        <v>182.3</v>
      </c>
      <c r="Y353">
        <v>167.5</v>
      </c>
      <c r="Z353">
        <v>170.8</v>
      </c>
      <c r="AA353">
        <v>176.9</v>
      </c>
      <c r="AB353">
        <v>173.4</v>
      </c>
      <c r="AC353">
        <v>174.6</v>
      </c>
      <c r="AD353">
        <v>177.8</v>
      </c>
    </row>
    <row r="354" spans="1:30" x14ac:dyDescent="0.3">
      <c r="A354" t="s">
        <v>33</v>
      </c>
      <c r="B354">
        <v>2022</v>
      </c>
      <c r="C354" t="s">
        <v>45</v>
      </c>
      <c r="D354">
        <v>168.4</v>
      </c>
      <c r="E354">
        <v>213.4</v>
      </c>
      <c r="F354">
        <v>183.2</v>
      </c>
      <c r="G354">
        <v>172.3</v>
      </c>
      <c r="H354">
        <v>180</v>
      </c>
      <c r="I354">
        <v>162.6</v>
      </c>
      <c r="J354">
        <v>205.5</v>
      </c>
      <c r="K354">
        <v>171</v>
      </c>
      <c r="L354">
        <v>123.4</v>
      </c>
      <c r="M354">
        <v>198.8</v>
      </c>
      <c r="N354">
        <v>162.1</v>
      </c>
      <c r="O354">
        <v>192.4</v>
      </c>
      <c r="P354">
        <v>181.3</v>
      </c>
      <c r="Q354">
        <v>200.6</v>
      </c>
      <c r="R354">
        <v>176.7</v>
      </c>
      <c r="S354">
        <v>163.5</v>
      </c>
      <c r="T354">
        <v>174.7</v>
      </c>
      <c r="U354">
        <v>171.8</v>
      </c>
      <c r="V354">
        <v>180.3</v>
      </c>
      <c r="W354">
        <v>166.9</v>
      </c>
      <c r="X354">
        <v>175.8</v>
      </c>
      <c r="Y354">
        <v>158.9</v>
      </c>
      <c r="Z354">
        <v>166.7</v>
      </c>
      <c r="AA354">
        <v>171.5</v>
      </c>
      <c r="AB354">
        <v>173.8</v>
      </c>
      <c r="AC354">
        <v>167.4</v>
      </c>
      <c r="AD354">
        <v>174.1</v>
      </c>
    </row>
    <row r="355" spans="1:30" x14ac:dyDescent="0.3">
      <c r="A355" t="s">
        <v>34</v>
      </c>
      <c r="B355">
        <v>2022</v>
      </c>
      <c r="C355" t="s">
        <v>45</v>
      </c>
      <c r="D355">
        <v>167.4</v>
      </c>
      <c r="E355">
        <v>209.4</v>
      </c>
      <c r="F355">
        <v>181.4</v>
      </c>
      <c r="G355">
        <v>172.3</v>
      </c>
      <c r="H355">
        <v>188.9</v>
      </c>
      <c r="I355">
        <v>160.69999999999999</v>
      </c>
      <c r="J355">
        <v>183.1</v>
      </c>
      <c r="K355">
        <v>170.5</v>
      </c>
      <c r="L355">
        <v>122.1</v>
      </c>
      <c r="M355">
        <v>202.8</v>
      </c>
      <c r="N355">
        <v>170.4</v>
      </c>
      <c r="O355">
        <v>189.5</v>
      </c>
      <c r="P355">
        <v>178.3</v>
      </c>
      <c r="Q355">
        <v>196.9</v>
      </c>
      <c r="R355">
        <v>183.1</v>
      </c>
      <c r="S355">
        <v>176.2</v>
      </c>
      <c r="T355">
        <v>182.1</v>
      </c>
      <c r="U355">
        <v>171.8</v>
      </c>
      <c r="V355">
        <v>181.3</v>
      </c>
      <c r="W355">
        <v>171.4</v>
      </c>
      <c r="X355">
        <v>179.8</v>
      </c>
      <c r="Y355">
        <v>163</v>
      </c>
      <c r="Z355">
        <v>168.5</v>
      </c>
      <c r="AA355">
        <v>173.7</v>
      </c>
      <c r="AB355">
        <v>173.6</v>
      </c>
      <c r="AC355">
        <v>171.1</v>
      </c>
      <c r="AD355">
        <v>176.5</v>
      </c>
    </row>
    <row r="356" spans="1:30" x14ac:dyDescent="0.3">
      <c r="A356" t="s">
        <v>30</v>
      </c>
      <c r="B356">
        <v>2022</v>
      </c>
      <c r="C356" t="s">
        <v>46</v>
      </c>
      <c r="D356">
        <v>168.8</v>
      </c>
      <c r="E356">
        <v>206.9</v>
      </c>
      <c r="F356">
        <v>189.1</v>
      </c>
      <c r="G356">
        <v>173.4</v>
      </c>
      <c r="H356">
        <v>193.9</v>
      </c>
      <c r="I356">
        <v>156.69999999999999</v>
      </c>
      <c r="J356">
        <v>150.19999999999999</v>
      </c>
      <c r="K356">
        <v>170.5</v>
      </c>
      <c r="L356">
        <v>121.2</v>
      </c>
      <c r="M356">
        <v>207.5</v>
      </c>
      <c r="N356">
        <v>176.8</v>
      </c>
      <c r="O356">
        <v>187.7</v>
      </c>
      <c r="P356">
        <v>174.4</v>
      </c>
      <c r="Q356">
        <v>195.9</v>
      </c>
      <c r="R356">
        <v>188.1</v>
      </c>
      <c r="S356">
        <v>185.9</v>
      </c>
      <c r="T356">
        <v>187.8</v>
      </c>
      <c r="U356" t="s">
        <v>32</v>
      </c>
      <c r="V356">
        <v>182.8</v>
      </c>
      <c r="W356">
        <v>176.4</v>
      </c>
      <c r="X356">
        <v>183.5</v>
      </c>
      <c r="Y356">
        <v>167.8</v>
      </c>
      <c r="Z356">
        <v>171.2</v>
      </c>
      <c r="AA356">
        <v>177.3</v>
      </c>
      <c r="AB356">
        <v>175.7</v>
      </c>
      <c r="AC356">
        <v>175.5</v>
      </c>
      <c r="AD356">
        <v>177.1</v>
      </c>
    </row>
    <row r="357" spans="1:30" x14ac:dyDescent="0.3">
      <c r="A357" t="s">
        <v>33</v>
      </c>
      <c r="B357">
        <v>2022</v>
      </c>
      <c r="C357" t="s">
        <v>46</v>
      </c>
      <c r="D357">
        <v>170.2</v>
      </c>
      <c r="E357">
        <v>212.9</v>
      </c>
      <c r="F357">
        <v>191.9</v>
      </c>
      <c r="G357">
        <v>173.9</v>
      </c>
      <c r="H357">
        <v>179.1</v>
      </c>
      <c r="I357">
        <v>159.5</v>
      </c>
      <c r="J357">
        <v>178.7</v>
      </c>
      <c r="K357">
        <v>171.3</v>
      </c>
      <c r="L357">
        <v>123.1</v>
      </c>
      <c r="M357">
        <v>200.5</v>
      </c>
      <c r="N357">
        <v>162.80000000000001</v>
      </c>
      <c r="O357">
        <v>193.3</v>
      </c>
      <c r="P357">
        <v>178.6</v>
      </c>
      <c r="Q357">
        <v>201.1</v>
      </c>
      <c r="R357">
        <v>177.7</v>
      </c>
      <c r="S357">
        <v>164.5</v>
      </c>
      <c r="T357">
        <v>175.7</v>
      </c>
      <c r="U357">
        <v>170.7</v>
      </c>
      <c r="V357">
        <v>180.6</v>
      </c>
      <c r="W357">
        <v>167.3</v>
      </c>
      <c r="X357">
        <v>177.2</v>
      </c>
      <c r="Y357">
        <v>159.4</v>
      </c>
      <c r="Z357">
        <v>167.1</v>
      </c>
      <c r="AA357">
        <v>171.8</v>
      </c>
      <c r="AB357">
        <v>176</v>
      </c>
      <c r="AC357">
        <v>168.2</v>
      </c>
      <c r="AD357">
        <v>174.1</v>
      </c>
    </row>
    <row r="358" spans="1:30" x14ac:dyDescent="0.3">
      <c r="A358" t="s">
        <v>34</v>
      </c>
      <c r="B358">
        <v>2022</v>
      </c>
      <c r="C358" t="s">
        <v>46</v>
      </c>
      <c r="D358">
        <v>169.2</v>
      </c>
      <c r="E358">
        <v>209</v>
      </c>
      <c r="F358">
        <v>190.2</v>
      </c>
      <c r="G358">
        <v>173.6</v>
      </c>
      <c r="H358">
        <v>188.5</v>
      </c>
      <c r="I358">
        <v>158</v>
      </c>
      <c r="J358">
        <v>159.9</v>
      </c>
      <c r="K358">
        <v>170.8</v>
      </c>
      <c r="L358">
        <v>121.8</v>
      </c>
      <c r="M358">
        <v>205.2</v>
      </c>
      <c r="N358">
        <v>171</v>
      </c>
      <c r="O358">
        <v>190.3</v>
      </c>
      <c r="P358">
        <v>175.9</v>
      </c>
      <c r="Q358">
        <v>197.3</v>
      </c>
      <c r="R358">
        <v>184</v>
      </c>
      <c r="S358">
        <v>177</v>
      </c>
      <c r="T358">
        <v>183</v>
      </c>
      <c r="U358">
        <v>170.7</v>
      </c>
      <c r="V358">
        <v>182</v>
      </c>
      <c r="W358">
        <v>172.1</v>
      </c>
      <c r="X358">
        <v>181.1</v>
      </c>
      <c r="Y358">
        <v>163.4</v>
      </c>
      <c r="Z358">
        <v>168.9</v>
      </c>
      <c r="AA358">
        <v>174.1</v>
      </c>
      <c r="AB358">
        <v>175.8</v>
      </c>
      <c r="AC358">
        <v>172</v>
      </c>
      <c r="AD358">
        <v>175.7</v>
      </c>
    </row>
    <row r="359" spans="1:30" x14ac:dyDescent="0.3">
      <c r="A359" t="s">
        <v>30</v>
      </c>
      <c r="B359">
        <v>2023</v>
      </c>
      <c r="C359" t="s">
        <v>31</v>
      </c>
      <c r="D359">
        <v>174</v>
      </c>
      <c r="E359">
        <v>208.3</v>
      </c>
      <c r="F359">
        <v>192.9</v>
      </c>
      <c r="G359">
        <v>174.3</v>
      </c>
      <c r="H359">
        <v>192.6</v>
      </c>
      <c r="I359">
        <v>156.30000000000001</v>
      </c>
      <c r="J359">
        <v>142.9</v>
      </c>
      <c r="K359">
        <v>170.7</v>
      </c>
      <c r="L359">
        <v>120.3</v>
      </c>
      <c r="M359">
        <v>210.5</v>
      </c>
      <c r="N359">
        <v>176.9</v>
      </c>
      <c r="O359">
        <v>188.5</v>
      </c>
      <c r="P359">
        <v>175</v>
      </c>
      <c r="Q359">
        <v>196.9</v>
      </c>
      <c r="R359">
        <v>189</v>
      </c>
      <c r="S359">
        <v>186.3</v>
      </c>
      <c r="T359">
        <v>188.6</v>
      </c>
      <c r="U359" t="s">
        <v>32</v>
      </c>
      <c r="V359">
        <v>183.2</v>
      </c>
      <c r="W359">
        <v>177.2</v>
      </c>
      <c r="X359">
        <v>184.7</v>
      </c>
      <c r="Y359">
        <v>168.2</v>
      </c>
      <c r="Z359">
        <v>171.8</v>
      </c>
      <c r="AA359">
        <v>177.8</v>
      </c>
      <c r="AB359">
        <v>178.4</v>
      </c>
      <c r="AC359">
        <v>176.5</v>
      </c>
      <c r="AD359">
        <v>177.8</v>
      </c>
    </row>
    <row r="360" spans="1:30" x14ac:dyDescent="0.3">
      <c r="A360" t="s">
        <v>33</v>
      </c>
      <c r="B360">
        <v>2023</v>
      </c>
      <c r="C360" t="s">
        <v>31</v>
      </c>
      <c r="D360">
        <v>173.3</v>
      </c>
      <c r="E360">
        <v>215.2</v>
      </c>
      <c r="F360">
        <v>197</v>
      </c>
      <c r="G360">
        <v>175.2</v>
      </c>
      <c r="H360">
        <v>178</v>
      </c>
      <c r="I360">
        <v>160.5</v>
      </c>
      <c r="J360">
        <v>175.3</v>
      </c>
      <c r="K360">
        <v>171.2</v>
      </c>
      <c r="L360">
        <v>122.7</v>
      </c>
      <c r="M360">
        <v>204.3</v>
      </c>
      <c r="N360">
        <v>163.69999999999999</v>
      </c>
      <c r="O360">
        <v>194.3</v>
      </c>
      <c r="P360">
        <v>179.5</v>
      </c>
      <c r="Q360">
        <v>201.6</v>
      </c>
      <c r="R360">
        <v>178.7</v>
      </c>
      <c r="S360">
        <v>165.3</v>
      </c>
      <c r="T360">
        <v>176.6</v>
      </c>
      <c r="U360">
        <v>172.1</v>
      </c>
      <c r="V360">
        <v>180.1</v>
      </c>
      <c r="W360">
        <v>168</v>
      </c>
      <c r="X360">
        <v>178.5</v>
      </c>
      <c r="Y360">
        <v>159.5</v>
      </c>
      <c r="Z360">
        <v>167.8</v>
      </c>
      <c r="AA360">
        <v>171.8</v>
      </c>
      <c r="AB360">
        <v>178.8</v>
      </c>
      <c r="AC360">
        <v>168.9</v>
      </c>
      <c r="AD360">
        <v>174.9</v>
      </c>
    </row>
    <row r="361" spans="1:30" x14ac:dyDescent="0.3">
      <c r="A361" t="s">
        <v>34</v>
      </c>
      <c r="B361">
        <v>2023</v>
      </c>
      <c r="C361" t="s">
        <v>31</v>
      </c>
      <c r="D361">
        <v>173.8</v>
      </c>
      <c r="E361">
        <v>210.7</v>
      </c>
      <c r="F361">
        <v>194.5</v>
      </c>
      <c r="G361">
        <v>174.6</v>
      </c>
      <c r="H361">
        <v>187.2</v>
      </c>
      <c r="I361">
        <v>158.30000000000001</v>
      </c>
      <c r="J361">
        <v>153.9</v>
      </c>
      <c r="K361">
        <v>170.9</v>
      </c>
      <c r="L361">
        <v>121.1</v>
      </c>
      <c r="M361">
        <v>208.4</v>
      </c>
      <c r="N361">
        <v>171.4</v>
      </c>
      <c r="O361">
        <v>191.2</v>
      </c>
      <c r="P361">
        <v>176.7</v>
      </c>
      <c r="Q361">
        <v>198.2</v>
      </c>
      <c r="R361">
        <v>184.9</v>
      </c>
      <c r="S361">
        <v>177.6</v>
      </c>
      <c r="T361">
        <v>183.8</v>
      </c>
      <c r="U361">
        <v>172.1</v>
      </c>
      <c r="V361">
        <v>182</v>
      </c>
      <c r="W361">
        <v>172.9</v>
      </c>
      <c r="X361">
        <v>182.3</v>
      </c>
      <c r="Y361">
        <v>163.6</v>
      </c>
      <c r="Z361">
        <v>169.5</v>
      </c>
      <c r="AA361">
        <v>174.3</v>
      </c>
      <c r="AB361">
        <v>178.6</v>
      </c>
      <c r="AC361">
        <v>172.8</v>
      </c>
      <c r="AD361">
        <v>176.5</v>
      </c>
    </row>
    <row r="362" spans="1:30" x14ac:dyDescent="0.3">
      <c r="A362" t="s">
        <v>30</v>
      </c>
      <c r="B362">
        <v>2023</v>
      </c>
      <c r="C362" t="s">
        <v>35</v>
      </c>
      <c r="D362">
        <v>174.2</v>
      </c>
      <c r="E362">
        <v>205.2</v>
      </c>
      <c r="F362">
        <v>173.9</v>
      </c>
      <c r="G362">
        <v>177</v>
      </c>
      <c r="H362">
        <v>183.4</v>
      </c>
      <c r="I362">
        <v>167.2</v>
      </c>
      <c r="J362">
        <v>140.9</v>
      </c>
      <c r="K362">
        <v>170.4</v>
      </c>
      <c r="L362">
        <v>119.1</v>
      </c>
      <c r="M362">
        <v>212.1</v>
      </c>
      <c r="N362">
        <v>177.6</v>
      </c>
      <c r="O362">
        <v>189.9</v>
      </c>
      <c r="P362">
        <v>174.8</v>
      </c>
      <c r="Q362">
        <v>198.3</v>
      </c>
      <c r="R362">
        <v>190</v>
      </c>
      <c r="S362">
        <v>187</v>
      </c>
      <c r="T362">
        <v>189.6</v>
      </c>
      <c r="U362" t="s">
        <v>32</v>
      </c>
      <c r="V362">
        <v>181.6</v>
      </c>
      <c r="W362">
        <v>178.6</v>
      </c>
      <c r="X362">
        <v>186.6</v>
      </c>
      <c r="Y362">
        <v>169</v>
      </c>
      <c r="Z362">
        <v>172.8</v>
      </c>
      <c r="AA362">
        <v>178.5</v>
      </c>
      <c r="AB362">
        <v>180.7</v>
      </c>
      <c r="AC362">
        <v>177.9</v>
      </c>
      <c r="AD362">
        <v>178</v>
      </c>
    </row>
    <row r="363" spans="1:30" x14ac:dyDescent="0.3">
      <c r="A363" t="s">
        <v>33</v>
      </c>
      <c r="B363">
        <v>2023</v>
      </c>
      <c r="C363" t="s">
        <v>35</v>
      </c>
      <c r="D363">
        <v>174.7</v>
      </c>
      <c r="E363">
        <v>212.2</v>
      </c>
      <c r="F363">
        <v>177.2</v>
      </c>
      <c r="G363">
        <v>177.9</v>
      </c>
      <c r="H363">
        <v>172.2</v>
      </c>
      <c r="I363">
        <v>172.1</v>
      </c>
      <c r="J363">
        <v>175.8</v>
      </c>
      <c r="K363">
        <v>172.2</v>
      </c>
      <c r="L363">
        <v>121.9</v>
      </c>
      <c r="M363">
        <v>204.8</v>
      </c>
      <c r="N363">
        <v>164.9</v>
      </c>
      <c r="O363">
        <v>196.6</v>
      </c>
      <c r="P363">
        <v>180.7</v>
      </c>
      <c r="Q363">
        <v>202.7</v>
      </c>
      <c r="R363">
        <v>180.3</v>
      </c>
      <c r="S363">
        <v>167</v>
      </c>
      <c r="T363">
        <v>178.2</v>
      </c>
      <c r="U363">
        <v>173.5</v>
      </c>
      <c r="V363">
        <v>182.8</v>
      </c>
      <c r="W363">
        <v>169.2</v>
      </c>
      <c r="X363">
        <v>180.8</v>
      </c>
      <c r="Y363">
        <v>159.80000000000001</v>
      </c>
      <c r="Z363">
        <v>168.4</v>
      </c>
      <c r="AA363">
        <v>172.5</v>
      </c>
      <c r="AB363">
        <v>181.4</v>
      </c>
      <c r="AC363">
        <v>170</v>
      </c>
      <c r="AD363">
        <v>176.3</v>
      </c>
    </row>
    <row r="364" spans="1:30" x14ac:dyDescent="0.3">
      <c r="A364" t="s">
        <v>34</v>
      </c>
      <c r="B364">
        <v>2023</v>
      </c>
      <c r="C364" t="s">
        <v>35</v>
      </c>
      <c r="D364">
        <v>174.4</v>
      </c>
      <c r="E364">
        <v>207.7</v>
      </c>
      <c r="F364">
        <v>175.2</v>
      </c>
      <c r="G364">
        <v>177.3</v>
      </c>
      <c r="H364">
        <v>179.3</v>
      </c>
      <c r="I364">
        <v>169.5</v>
      </c>
      <c r="J364">
        <v>152.69999999999999</v>
      </c>
      <c r="K364">
        <v>171</v>
      </c>
      <c r="L364">
        <v>120</v>
      </c>
      <c r="M364">
        <v>209.7</v>
      </c>
      <c r="N364">
        <v>172.3</v>
      </c>
      <c r="O364">
        <v>193</v>
      </c>
      <c r="P364">
        <v>177</v>
      </c>
      <c r="Q364">
        <v>199.5</v>
      </c>
      <c r="R364">
        <v>186.2</v>
      </c>
      <c r="S364">
        <v>178.7</v>
      </c>
      <c r="T364">
        <v>185.1</v>
      </c>
      <c r="U364">
        <v>173.5</v>
      </c>
      <c r="V364">
        <v>182.1</v>
      </c>
      <c r="W364">
        <v>174.2</v>
      </c>
      <c r="X364">
        <v>184.4</v>
      </c>
      <c r="Y364">
        <v>164.2</v>
      </c>
      <c r="Z364">
        <v>170.3</v>
      </c>
      <c r="AA364">
        <v>175</v>
      </c>
      <c r="AB364">
        <v>181</v>
      </c>
      <c r="AC364">
        <v>174.1</v>
      </c>
      <c r="AD364">
        <v>177.2</v>
      </c>
    </row>
    <row r="365" spans="1:30" x14ac:dyDescent="0.3">
      <c r="A365" t="s">
        <v>30</v>
      </c>
      <c r="B365">
        <v>2023</v>
      </c>
      <c r="C365" t="s">
        <v>36</v>
      </c>
      <c r="D365">
        <v>174.3</v>
      </c>
      <c r="E365">
        <v>205.2</v>
      </c>
      <c r="F365">
        <v>173.9</v>
      </c>
      <c r="G365">
        <v>177</v>
      </c>
      <c r="H365">
        <v>183.3</v>
      </c>
      <c r="I365">
        <v>167.2</v>
      </c>
      <c r="J365">
        <v>140.9</v>
      </c>
      <c r="K365">
        <v>170.5</v>
      </c>
      <c r="L365">
        <v>119.1</v>
      </c>
      <c r="M365">
        <v>212.1</v>
      </c>
      <c r="N365">
        <v>177.6</v>
      </c>
      <c r="O365">
        <v>189.9</v>
      </c>
      <c r="P365">
        <v>174.8</v>
      </c>
      <c r="Q365">
        <v>198.4</v>
      </c>
      <c r="R365">
        <v>190</v>
      </c>
      <c r="S365">
        <v>187</v>
      </c>
      <c r="T365">
        <v>189.6</v>
      </c>
      <c r="U365" t="s">
        <v>32</v>
      </c>
      <c r="V365">
        <v>181.4</v>
      </c>
      <c r="W365">
        <v>178.6</v>
      </c>
      <c r="X365">
        <v>186.6</v>
      </c>
      <c r="Y365">
        <v>169</v>
      </c>
      <c r="Z365">
        <v>172.8</v>
      </c>
      <c r="AA365">
        <v>178.5</v>
      </c>
      <c r="AB365">
        <v>180.7</v>
      </c>
      <c r="AC365">
        <v>177.9</v>
      </c>
      <c r="AD365">
        <v>178</v>
      </c>
    </row>
    <row r="366" spans="1:30" x14ac:dyDescent="0.3">
      <c r="A366" t="s">
        <v>33</v>
      </c>
      <c r="B366">
        <v>2023</v>
      </c>
      <c r="C366" t="s">
        <v>36</v>
      </c>
      <c r="D366">
        <v>174.7</v>
      </c>
      <c r="E366">
        <v>212.2</v>
      </c>
      <c r="F366">
        <v>177.2</v>
      </c>
      <c r="G366">
        <v>177.9</v>
      </c>
      <c r="H366">
        <v>172.2</v>
      </c>
      <c r="I366">
        <v>172.1</v>
      </c>
      <c r="J366">
        <v>175.9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180.8</v>
      </c>
      <c r="Q366">
        <v>202.7</v>
      </c>
      <c r="R366">
        <v>180.2</v>
      </c>
      <c r="S366">
        <v>167</v>
      </c>
      <c r="T366">
        <v>178.2</v>
      </c>
      <c r="U366">
        <v>173.5</v>
      </c>
      <c r="V366">
        <v>182.6</v>
      </c>
      <c r="W366">
        <v>169.2</v>
      </c>
      <c r="X366">
        <v>180.8</v>
      </c>
      <c r="Y366">
        <v>159.80000000000001</v>
      </c>
      <c r="Z366">
        <v>168.4</v>
      </c>
      <c r="AA366">
        <v>172.5</v>
      </c>
      <c r="AB366">
        <v>181.5</v>
      </c>
      <c r="AC366">
        <v>170</v>
      </c>
      <c r="AD366">
        <v>176.3</v>
      </c>
    </row>
    <row r="367" spans="1:30" x14ac:dyDescent="0.3">
      <c r="A367" t="s">
        <v>34</v>
      </c>
      <c r="B367">
        <v>2023</v>
      </c>
      <c r="C367" t="s">
        <v>36</v>
      </c>
      <c r="D367">
        <v>174.4</v>
      </c>
      <c r="E367">
        <v>207.7</v>
      </c>
      <c r="F367">
        <v>175.2</v>
      </c>
      <c r="G367">
        <v>177.3</v>
      </c>
      <c r="H367">
        <v>179.2</v>
      </c>
      <c r="I367">
        <v>169.5</v>
      </c>
      <c r="J367">
        <v>152.80000000000001</v>
      </c>
      <c r="K367">
        <v>171.1</v>
      </c>
      <c r="L367">
        <v>120</v>
      </c>
      <c r="M367">
        <v>209.7</v>
      </c>
      <c r="N367">
        <v>172.3</v>
      </c>
      <c r="O367">
        <v>193</v>
      </c>
      <c r="P367">
        <v>177</v>
      </c>
      <c r="Q367">
        <v>199.5</v>
      </c>
      <c r="R367">
        <v>186.1</v>
      </c>
      <c r="S367">
        <v>178.7</v>
      </c>
      <c r="T367">
        <v>185.1</v>
      </c>
      <c r="U367">
        <v>173.5</v>
      </c>
      <c r="V367">
        <v>181.9</v>
      </c>
      <c r="W367">
        <v>174.2</v>
      </c>
      <c r="X367">
        <v>184.4</v>
      </c>
      <c r="Y367">
        <v>164.2</v>
      </c>
      <c r="Z367">
        <v>170.3</v>
      </c>
      <c r="AA367">
        <v>175</v>
      </c>
      <c r="AB367">
        <v>181</v>
      </c>
      <c r="AC367">
        <v>174.1</v>
      </c>
      <c r="AD367">
        <v>177.2</v>
      </c>
    </row>
    <row r="368" spans="1:30" x14ac:dyDescent="0.3">
      <c r="A368" t="s">
        <v>30</v>
      </c>
      <c r="B368">
        <v>2023</v>
      </c>
      <c r="C368" t="s">
        <v>37</v>
      </c>
      <c r="D368">
        <v>173.3</v>
      </c>
      <c r="E368">
        <v>206.9</v>
      </c>
      <c r="F368">
        <v>167.9</v>
      </c>
      <c r="G368">
        <v>178.2</v>
      </c>
      <c r="H368">
        <v>178.5</v>
      </c>
      <c r="I368">
        <v>173.7</v>
      </c>
      <c r="J368">
        <v>142.80000000000001</v>
      </c>
      <c r="K368">
        <v>172.8</v>
      </c>
      <c r="L368">
        <v>120.4</v>
      </c>
      <c r="M368">
        <v>215.5</v>
      </c>
      <c r="N368">
        <v>178.2</v>
      </c>
      <c r="O368">
        <v>190.5</v>
      </c>
      <c r="P368">
        <v>175.5</v>
      </c>
      <c r="Q368">
        <v>199.5</v>
      </c>
      <c r="R368">
        <v>190.7</v>
      </c>
      <c r="S368">
        <v>187.3</v>
      </c>
      <c r="T368">
        <v>190.2</v>
      </c>
      <c r="U368" t="s">
        <v>48</v>
      </c>
      <c r="V368">
        <v>181.5</v>
      </c>
      <c r="W368">
        <v>179.1</v>
      </c>
      <c r="X368">
        <v>187.2</v>
      </c>
      <c r="Y368">
        <v>169.4</v>
      </c>
      <c r="Z368">
        <v>173.2</v>
      </c>
      <c r="AA368">
        <v>179.4</v>
      </c>
      <c r="AB368">
        <v>183.8</v>
      </c>
      <c r="AC368">
        <v>178.9</v>
      </c>
      <c r="AD368">
        <v>178.8</v>
      </c>
    </row>
    <row r="369" spans="1:30" x14ac:dyDescent="0.3">
      <c r="A369" t="s">
        <v>33</v>
      </c>
      <c r="B369">
        <v>2023</v>
      </c>
      <c r="C369" t="s">
        <v>37</v>
      </c>
      <c r="D369">
        <v>174.8</v>
      </c>
      <c r="E369">
        <v>213.7</v>
      </c>
      <c r="F369">
        <v>172.4</v>
      </c>
      <c r="G369">
        <v>178.8</v>
      </c>
      <c r="H369">
        <v>168.7</v>
      </c>
      <c r="I369">
        <v>179.2</v>
      </c>
      <c r="J369">
        <v>179.9</v>
      </c>
      <c r="K369">
        <v>174.7</v>
      </c>
      <c r="L369">
        <v>123.1</v>
      </c>
      <c r="M369">
        <v>207.8</v>
      </c>
      <c r="N369">
        <v>165.5</v>
      </c>
      <c r="O369">
        <v>197</v>
      </c>
      <c r="P369">
        <v>182.1</v>
      </c>
      <c r="Q369">
        <v>203.5</v>
      </c>
      <c r="R369">
        <v>181</v>
      </c>
      <c r="S369">
        <v>167.7</v>
      </c>
      <c r="T369">
        <v>178.9</v>
      </c>
      <c r="U369">
        <v>175.2</v>
      </c>
      <c r="V369">
        <v>182.1</v>
      </c>
      <c r="W369">
        <v>169.6</v>
      </c>
      <c r="X369">
        <v>181.5</v>
      </c>
      <c r="Y369">
        <v>160.1</v>
      </c>
      <c r="Z369">
        <v>168.8</v>
      </c>
      <c r="AA369">
        <v>174.2</v>
      </c>
      <c r="AB369">
        <v>184.4</v>
      </c>
      <c r="AC369">
        <v>170.9</v>
      </c>
      <c r="AD369">
        <v>177.4</v>
      </c>
    </row>
    <row r="370" spans="1:30" x14ac:dyDescent="0.3">
      <c r="A370" t="s">
        <v>34</v>
      </c>
      <c r="B370">
        <v>2023</v>
      </c>
      <c r="C370" t="s">
        <v>37</v>
      </c>
      <c r="D370">
        <v>173.8</v>
      </c>
      <c r="E370">
        <v>209.3</v>
      </c>
      <c r="F370">
        <v>169.6</v>
      </c>
      <c r="G370">
        <v>178.4</v>
      </c>
      <c r="H370">
        <v>174.9</v>
      </c>
      <c r="I370">
        <v>176.3</v>
      </c>
      <c r="J370">
        <v>155.4</v>
      </c>
      <c r="K370">
        <v>173.4</v>
      </c>
      <c r="L370">
        <v>121.3</v>
      </c>
      <c r="M370">
        <v>212.9</v>
      </c>
      <c r="N370">
        <v>172.9</v>
      </c>
      <c r="O370">
        <v>193.5</v>
      </c>
      <c r="P370">
        <v>177.9</v>
      </c>
      <c r="Q370">
        <v>200.6</v>
      </c>
      <c r="R370">
        <v>186.9</v>
      </c>
      <c r="S370">
        <v>179.2</v>
      </c>
      <c r="T370">
        <v>185.7</v>
      </c>
      <c r="U370">
        <v>175.2</v>
      </c>
      <c r="V370">
        <v>181.7</v>
      </c>
      <c r="W370">
        <v>174.6</v>
      </c>
      <c r="X370">
        <v>185</v>
      </c>
      <c r="Y370">
        <v>164.5</v>
      </c>
      <c r="Z370">
        <v>170.7</v>
      </c>
      <c r="AA370">
        <v>176.4</v>
      </c>
      <c r="AB370">
        <v>184</v>
      </c>
      <c r="AC370">
        <v>175</v>
      </c>
      <c r="AD370">
        <v>178.1</v>
      </c>
    </row>
    <row r="371" spans="1:30" x14ac:dyDescent="0.3">
      <c r="A371" t="s">
        <v>30</v>
      </c>
      <c r="B371">
        <v>2023</v>
      </c>
      <c r="C371" t="s">
        <v>38</v>
      </c>
      <c r="D371">
        <v>173.2</v>
      </c>
      <c r="E371">
        <v>211.5</v>
      </c>
      <c r="F371">
        <v>171</v>
      </c>
      <c r="G371">
        <v>179.6</v>
      </c>
      <c r="H371">
        <v>173.3</v>
      </c>
      <c r="I371">
        <v>169</v>
      </c>
      <c r="J371">
        <v>148.69999999999999</v>
      </c>
      <c r="K371">
        <v>174.9</v>
      </c>
      <c r="L371">
        <v>121.9</v>
      </c>
      <c r="M371">
        <v>221</v>
      </c>
      <c r="N371">
        <v>178.7</v>
      </c>
      <c r="O371">
        <v>191.1</v>
      </c>
      <c r="P371">
        <v>176.8</v>
      </c>
      <c r="Q371">
        <v>199.9</v>
      </c>
      <c r="R371">
        <v>191.2</v>
      </c>
      <c r="S371">
        <v>187.9</v>
      </c>
      <c r="T371">
        <v>190.8</v>
      </c>
      <c r="U371" t="s">
        <v>48</v>
      </c>
      <c r="V371">
        <v>182.5</v>
      </c>
      <c r="W371">
        <v>179.8</v>
      </c>
      <c r="X371">
        <v>187.8</v>
      </c>
      <c r="Y371">
        <v>169.7</v>
      </c>
      <c r="Z371">
        <v>173.8</v>
      </c>
      <c r="AA371">
        <v>180.3</v>
      </c>
      <c r="AB371">
        <v>184.9</v>
      </c>
      <c r="AC371">
        <v>179.5</v>
      </c>
      <c r="AD371">
        <v>179.8</v>
      </c>
    </row>
    <row r="372" spans="1:30" x14ac:dyDescent="0.3">
      <c r="A372" t="s">
        <v>33</v>
      </c>
      <c r="B372">
        <v>2023</v>
      </c>
      <c r="C372" t="s">
        <v>38</v>
      </c>
      <c r="D372">
        <v>174.7</v>
      </c>
      <c r="E372">
        <v>219.4</v>
      </c>
      <c r="F372">
        <v>176.7</v>
      </c>
      <c r="G372">
        <v>179.4</v>
      </c>
      <c r="H372">
        <v>164.4</v>
      </c>
      <c r="I372">
        <v>175.8</v>
      </c>
      <c r="J372">
        <v>185</v>
      </c>
      <c r="K372">
        <v>176.9</v>
      </c>
      <c r="L372">
        <v>124.2</v>
      </c>
      <c r="M372">
        <v>211.9</v>
      </c>
      <c r="N372">
        <v>165.9</v>
      </c>
      <c r="O372">
        <v>197.7</v>
      </c>
      <c r="P372">
        <v>183.1</v>
      </c>
      <c r="Q372">
        <v>204.2</v>
      </c>
      <c r="R372">
        <v>181.3</v>
      </c>
      <c r="S372">
        <v>168.1</v>
      </c>
      <c r="T372">
        <v>179.3</v>
      </c>
      <c r="U372">
        <v>175.6</v>
      </c>
      <c r="V372">
        <v>183.4</v>
      </c>
      <c r="W372">
        <v>170.1</v>
      </c>
      <c r="X372">
        <v>182.2</v>
      </c>
      <c r="Y372">
        <v>160.4</v>
      </c>
      <c r="Z372">
        <v>169.2</v>
      </c>
      <c r="AA372">
        <v>174.8</v>
      </c>
      <c r="AB372">
        <v>185.6</v>
      </c>
      <c r="AC372">
        <v>171.6</v>
      </c>
      <c r="AD372">
        <v>178.2</v>
      </c>
    </row>
    <row r="373" spans="1:30" x14ac:dyDescent="0.3">
      <c r="A373" t="s">
        <v>34</v>
      </c>
      <c r="B373">
        <v>2023</v>
      </c>
      <c r="C373" t="s">
        <v>38</v>
      </c>
      <c r="D373">
        <v>173.7</v>
      </c>
      <c r="E373">
        <v>214.3</v>
      </c>
      <c r="F373">
        <v>173.2</v>
      </c>
      <c r="G373">
        <v>179.5</v>
      </c>
      <c r="H373">
        <v>170</v>
      </c>
      <c r="I373">
        <v>172.2</v>
      </c>
      <c r="J373">
        <v>161</v>
      </c>
      <c r="K373">
        <v>175.6</v>
      </c>
      <c r="L373">
        <v>122.7</v>
      </c>
      <c r="M373">
        <v>218</v>
      </c>
      <c r="N373">
        <v>173.4</v>
      </c>
      <c r="O373">
        <v>194.2</v>
      </c>
      <c r="P373">
        <v>179.1</v>
      </c>
      <c r="Q373">
        <v>201</v>
      </c>
      <c r="R373">
        <v>187.3</v>
      </c>
      <c r="S373">
        <v>179.7</v>
      </c>
      <c r="T373">
        <v>186.2</v>
      </c>
      <c r="U373">
        <v>175.6</v>
      </c>
      <c r="V373">
        <v>182.8</v>
      </c>
      <c r="W373">
        <v>175.2</v>
      </c>
      <c r="X373">
        <v>185.7</v>
      </c>
      <c r="Y373">
        <v>164.8</v>
      </c>
      <c r="Z373">
        <v>171.2</v>
      </c>
      <c r="AA373">
        <v>177.1</v>
      </c>
      <c r="AB373">
        <v>185.2</v>
      </c>
      <c r="AC373">
        <v>175.7</v>
      </c>
      <c r="AD373">
        <v>179.1</v>
      </c>
    </row>
  </sheetData>
  <autoFilter ref="A1:AD373" xr:uid="{E67D72C3-D3E8-41BB-9FF8-B85C67F2511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FC1B1-C3B2-462C-AEFE-F248F5EB67E1}">
  <sheetPr filterMode="1"/>
  <dimension ref="A1:R40"/>
  <sheetViews>
    <sheetView workbookViewId="0">
      <selection activeCell="F47" sqref="F47"/>
    </sheetView>
  </sheetViews>
  <sheetFormatPr defaultRowHeight="14.4" x14ac:dyDescent="0.3"/>
  <cols>
    <col min="1" max="1" width="11.109375" bestFit="1" customWidth="1"/>
    <col min="16" max="16" width="7.6640625" customWidth="1"/>
    <col min="17" max="17" width="12" bestFit="1" customWidth="1"/>
    <col min="18" max="18" width="24.1093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29</v>
      </c>
      <c r="R1" t="s">
        <v>66</v>
      </c>
    </row>
    <row r="2" spans="1:18" hidden="1" x14ac:dyDescent="0.3">
      <c r="A2" t="s">
        <v>30</v>
      </c>
      <c r="B2">
        <v>2022</v>
      </c>
      <c r="C2" t="s">
        <v>38</v>
      </c>
      <c r="D2">
        <v>152.9</v>
      </c>
      <c r="E2">
        <v>214.7</v>
      </c>
      <c r="F2">
        <v>161.4</v>
      </c>
      <c r="G2">
        <v>164.6</v>
      </c>
      <c r="H2">
        <v>209.9</v>
      </c>
      <c r="I2">
        <v>168</v>
      </c>
      <c r="J2">
        <v>160.4</v>
      </c>
      <c r="K2">
        <v>165</v>
      </c>
      <c r="L2">
        <v>118.9</v>
      </c>
      <c r="M2">
        <v>186.6</v>
      </c>
      <c r="N2">
        <v>173.2</v>
      </c>
      <c r="O2">
        <v>180.4</v>
      </c>
      <c r="P2">
        <v>170.8</v>
      </c>
      <c r="Q2">
        <v>172.5</v>
      </c>
      <c r="R2" s="5">
        <f>AVERAGE(D2:P2)</f>
        <v>171.2923076923077</v>
      </c>
    </row>
    <row r="3" spans="1:18" hidden="1" x14ac:dyDescent="0.3">
      <c r="A3" t="s">
        <v>33</v>
      </c>
      <c r="B3">
        <v>2022</v>
      </c>
      <c r="C3" t="s">
        <v>38</v>
      </c>
      <c r="D3">
        <v>156.69999999999999</v>
      </c>
      <c r="E3">
        <v>221.2</v>
      </c>
      <c r="F3">
        <v>164.1</v>
      </c>
      <c r="G3">
        <v>165.4</v>
      </c>
      <c r="H3">
        <v>189.5</v>
      </c>
      <c r="I3">
        <v>174.5</v>
      </c>
      <c r="J3">
        <v>203.2</v>
      </c>
      <c r="K3">
        <v>164.1</v>
      </c>
      <c r="L3">
        <v>121.2</v>
      </c>
      <c r="M3">
        <v>181.4</v>
      </c>
      <c r="N3">
        <v>158.5</v>
      </c>
      <c r="O3">
        <v>184.9</v>
      </c>
      <c r="P3">
        <v>177.5</v>
      </c>
      <c r="Q3">
        <v>170.8</v>
      </c>
      <c r="R3" s="5">
        <f>AVERAGE(D3:P3)</f>
        <v>174.01538461538465</v>
      </c>
    </row>
    <row r="4" spans="1:18" x14ac:dyDescent="0.3">
      <c r="A4" t="s">
        <v>34</v>
      </c>
      <c r="B4">
        <v>2022</v>
      </c>
      <c r="C4" t="s">
        <v>38</v>
      </c>
      <c r="D4">
        <v>154.1</v>
      </c>
      <c r="E4">
        <v>217</v>
      </c>
      <c r="F4">
        <v>162.4</v>
      </c>
      <c r="G4">
        <v>164.9</v>
      </c>
      <c r="H4">
        <v>202.4</v>
      </c>
      <c r="I4">
        <v>171</v>
      </c>
      <c r="J4">
        <v>174.9</v>
      </c>
      <c r="K4">
        <v>164.7</v>
      </c>
      <c r="L4">
        <v>119.7</v>
      </c>
      <c r="M4">
        <v>184.9</v>
      </c>
      <c r="N4">
        <v>167.1</v>
      </c>
      <c r="O4">
        <v>182.5</v>
      </c>
      <c r="P4">
        <v>173.3</v>
      </c>
      <c r="Q4">
        <v>171.7</v>
      </c>
      <c r="R4" s="5">
        <f t="shared" ref="R4:R40" si="0">AVERAGE(D4:P4)</f>
        <v>172.22307692307697</v>
      </c>
    </row>
    <row r="5" spans="1:18" hidden="1" x14ac:dyDescent="0.3">
      <c r="A5" t="s">
        <v>30</v>
      </c>
      <c r="B5">
        <v>2022</v>
      </c>
      <c r="C5" t="s">
        <v>39</v>
      </c>
      <c r="D5">
        <v>153.80000000000001</v>
      </c>
      <c r="E5">
        <v>217.2</v>
      </c>
      <c r="F5">
        <v>169.6</v>
      </c>
      <c r="G5">
        <v>165.4</v>
      </c>
      <c r="H5">
        <v>208.1</v>
      </c>
      <c r="I5">
        <v>165.8</v>
      </c>
      <c r="J5">
        <v>167.3</v>
      </c>
      <c r="K5">
        <v>164.6</v>
      </c>
      <c r="L5">
        <v>119.1</v>
      </c>
      <c r="M5">
        <v>188.9</v>
      </c>
      <c r="N5">
        <v>174.2</v>
      </c>
      <c r="O5">
        <v>181.9</v>
      </c>
      <c r="P5">
        <v>172.4</v>
      </c>
      <c r="Q5">
        <v>173.6</v>
      </c>
      <c r="R5" s="5">
        <f t="shared" si="0"/>
        <v>172.94615384615386</v>
      </c>
    </row>
    <row r="6" spans="1:18" hidden="1" x14ac:dyDescent="0.3">
      <c r="A6" t="s">
        <v>33</v>
      </c>
      <c r="B6">
        <v>2022</v>
      </c>
      <c r="C6" t="s">
        <v>39</v>
      </c>
      <c r="D6">
        <v>157.5</v>
      </c>
      <c r="E6">
        <v>223.4</v>
      </c>
      <c r="F6">
        <v>172.8</v>
      </c>
      <c r="G6">
        <v>166.4</v>
      </c>
      <c r="H6">
        <v>188.6</v>
      </c>
      <c r="I6">
        <v>174.1</v>
      </c>
      <c r="J6">
        <v>211.5</v>
      </c>
      <c r="K6">
        <v>163.6</v>
      </c>
      <c r="L6">
        <v>121.4</v>
      </c>
      <c r="M6">
        <v>183.5</v>
      </c>
      <c r="N6">
        <v>159.1</v>
      </c>
      <c r="O6">
        <v>186.3</v>
      </c>
      <c r="P6">
        <v>179.3</v>
      </c>
      <c r="Q6">
        <v>171.4</v>
      </c>
      <c r="R6" s="5">
        <f t="shared" si="0"/>
        <v>175.96153846153845</v>
      </c>
    </row>
    <row r="7" spans="1:18" x14ac:dyDescent="0.3">
      <c r="A7" t="s">
        <v>34</v>
      </c>
      <c r="B7">
        <v>2022</v>
      </c>
      <c r="C7" t="s">
        <v>39</v>
      </c>
      <c r="D7">
        <v>155</v>
      </c>
      <c r="E7">
        <v>219.4</v>
      </c>
      <c r="F7">
        <v>170.8</v>
      </c>
      <c r="G7">
        <v>165.8</v>
      </c>
      <c r="H7">
        <v>200.9</v>
      </c>
      <c r="I7">
        <v>169.7</v>
      </c>
      <c r="J7">
        <v>182.3</v>
      </c>
      <c r="K7">
        <v>164.3</v>
      </c>
      <c r="L7">
        <v>119.9</v>
      </c>
      <c r="M7">
        <v>187.1</v>
      </c>
      <c r="N7">
        <v>167.9</v>
      </c>
      <c r="O7">
        <v>183.9</v>
      </c>
      <c r="P7">
        <v>174.9</v>
      </c>
      <c r="Q7">
        <v>172.6</v>
      </c>
      <c r="R7" s="5">
        <f t="shared" si="0"/>
        <v>173.99230769230769</v>
      </c>
    </row>
    <row r="8" spans="1:18" hidden="1" x14ac:dyDescent="0.3">
      <c r="A8" t="s">
        <v>30</v>
      </c>
      <c r="B8">
        <v>2022</v>
      </c>
      <c r="C8" t="s">
        <v>40</v>
      </c>
      <c r="D8">
        <v>155.19999999999999</v>
      </c>
      <c r="E8">
        <v>210.8</v>
      </c>
      <c r="F8">
        <v>174.3</v>
      </c>
      <c r="G8">
        <v>166.3</v>
      </c>
      <c r="H8">
        <v>202.2</v>
      </c>
      <c r="I8">
        <v>169.6</v>
      </c>
      <c r="J8">
        <v>168.6</v>
      </c>
      <c r="K8">
        <v>164.4</v>
      </c>
      <c r="L8">
        <v>119.2</v>
      </c>
      <c r="M8">
        <v>191.8</v>
      </c>
      <c r="N8">
        <v>174.5</v>
      </c>
      <c r="O8">
        <v>183.1</v>
      </c>
      <c r="P8">
        <v>172.5</v>
      </c>
      <c r="Q8">
        <v>174.3</v>
      </c>
      <c r="R8" s="5">
        <f t="shared" si="0"/>
        <v>173.26923076923077</v>
      </c>
    </row>
    <row r="9" spans="1:18" hidden="1" x14ac:dyDescent="0.3">
      <c r="A9" t="s">
        <v>33</v>
      </c>
      <c r="B9">
        <v>2022</v>
      </c>
      <c r="C9" t="s">
        <v>40</v>
      </c>
      <c r="D9">
        <v>159.30000000000001</v>
      </c>
      <c r="E9">
        <v>217.1</v>
      </c>
      <c r="F9">
        <v>176.6</v>
      </c>
      <c r="G9">
        <v>167.1</v>
      </c>
      <c r="H9">
        <v>184.8</v>
      </c>
      <c r="I9">
        <v>179.5</v>
      </c>
      <c r="J9">
        <v>208.5</v>
      </c>
      <c r="K9">
        <v>164</v>
      </c>
      <c r="L9">
        <v>121.5</v>
      </c>
      <c r="M9">
        <v>186.3</v>
      </c>
      <c r="N9">
        <v>159.80000000000001</v>
      </c>
      <c r="O9">
        <v>187.7</v>
      </c>
      <c r="P9">
        <v>179.4</v>
      </c>
      <c r="Q9">
        <v>172.3</v>
      </c>
      <c r="R9" s="5">
        <f t="shared" si="0"/>
        <v>176.27692307692308</v>
      </c>
    </row>
    <row r="10" spans="1:18" x14ac:dyDescent="0.3">
      <c r="A10" t="s">
        <v>34</v>
      </c>
      <c r="B10">
        <v>2022</v>
      </c>
      <c r="C10" t="s">
        <v>40</v>
      </c>
      <c r="D10">
        <v>156.5</v>
      </c>
      <c r="E10">
        <v>213</v>
      </c>
      <c r="F10">
        <v>175.2</v>
      </c>
      <c r="G10">
        <v>166.6</v>
      </c>
      <c r="H10">
        <v>195.8</v>
      </c>
      <c r="I10">
        <v>174.2</v>
      </c>
      <c r="J10">
        <v>182.1</v>
      </c>
      <c r="K10">
        <v>164.3</v>
      </c>
      <c r="L10">
        <v>120</v>
      </c>
      <c r="M10">
        <v>190</v>
      </c>
      <c r="N10">
        <v>168.4</v>
      </c>
      <c r="O10">
        <v>185.2</v>
      </c>
      <c r="P10">
        <v>175</v>
      </c>
      <c r="Q10">
        <v>173.4</v>
      </c>
      <c r="R10" s="5">
        <f t="shared" si="0"/>
        <v>174.33076923076925</v>
      </c>
    </row>
    <row r="11" spans="1:18" hidden="1" x14ac:dyDescent="0.3">
      <c r="A11" t="s">
        <v>30</v>
      </c>
      <c r="B11">
        <v>2022</v>
      </c>
      <c r="C11" t="s">
        <v>41</v>
      </c>
      <c r="D11">
        <v>159.5</v>
      </c>
      <c r="E11">
        <v>204.1</v>
      </c>
      <c r="F11">
        <v>168.3</v>
      </c>
      <c r="G11">
        <v>167.9</v>
      </c>
      <c r="H11">
        <v>198.1</v>
      </c>
      <c r="I11">
        <v>169.2</v>
      </c>
      <c r="J11">
        <v>173.1</v>
      </c>
      <c r="K11">
        <v>167.1</v>
      </c>
      <c r="L11">
        <v>120.2</v>
      </c>
      <c r="M11">
        <v>195.6</v>
      </c>
      <c r="N11">
        <v>174.8</v>
      </c>
      <c r="O11">
        <v>184</v>
      </c>
      <c r="P11">
        <v>173.9</v>
      </c>
      <c r="Q11">
        <v>175.3</v>
      </c>
      <c r="R11" s="5">
        <f t="shared" si="0"/>
        <v>173.5230769230769</v>
      </c>
    </row>
    <row r="12" spans="1:18" hidden="1" x14ac:dyDescent="0.3">
      <c r="A12" t="s">
        <v>33</v>
      </c>
      <c r="B12">
        <v>2022</v>
      </c>
      <c r="C12" t="s">
        <v>41</v>
      </c>
      <c r="D12">
        <v>162.1</v>
      </c>
      <c r="E12">
        <v>210.9</v>
      </c>
      <c r="F12">
        <v>170.6</v>
      </c>
      <c r="G12">
        <v>168.4</v>
      </c>
      <c r="H12">
        <v>182.5</v>
      </c>
      <c r="I12">
        <v>177.1</v>
      </c>
      <c r="J12">
        <v>213.1</v>
      </c>
      <c r="K12">
        <v>167.3</v>
      </c>
      <c r="L12">
        <v>122.2</v>
      </c>
      <c r="M12">
        <v>189.7</v>
      </c>
      <c r="N12">
        <v>160.5</v>
      </c>
      <c r="O12">
        <v>188.9</v>
      </c>
      <c r="P12">
        <v>180.4</v>
      </c>
      <c r="Q12">
        <v>173.1</v>
      </c>
      <c r="R12" s="5">
        <f t="shared" si="0"/>
        <v>176.43846153846152</v>
      </c>
    </row>
    <row r="13" spans="1:18" x14ac:dyDescent="0.3">
      <c r="A13" t="s">
        <v>34</v>
      </c>
      <c r="B13">
        <v>2022</v>
      </c>
      <c r="C13" t="s">
        <v>41</v>
      </c>
      <c r="D13">
        <v>160.30000000000001</v>
      </c>
      <c r="E13">
        <v>206.5</v>
      </c>
      <c r="F13">
        <v>169.2</v>
      </c>
      <c r="G13">
        <v>168.1</v>
      </c>
      <c r="H13">
        <v>192.4</v>
      </c>
      <c r="I13">
        <v>172.9</v>
      </c>
      <c r="J13">
        <v>186.7</v>
      </c>
      <c r="K13">
        <v>167.2</v>
      </c>
      <c r="L13">
        <v>120.9</v>
      </c>
      <c r="M13">
        <v>193.6</v>
      </c>
      <c r="N13">
        <v>168.8</v>
      </c>
      <c r="O13">
        <v>186.3</v>
      </c>
      <c r="P13">
        <v>176.3</v>
      </c>
      <c r="Q13">
        <v>174.3</v>
      </c>
      <c r="R13" s="5">
        <f t="shared" si="0"/>
        <v>174.55384615384617</v>
      </c>
    </row>
    <row r="14" spans="1:18" hidden="1" x14ac:dyDescent="0.3">
      <c r="A14" t="s">
        <v>30</v>
      </c>
      <c r="B14">
        <v>2022</v>
      </c>
      <c r="C14" t="s">
        <v>42</v>
      </c>
      <c r="D14">
        <v>162.9</v>
      </c>
      <c r="E14">
        <v>206.7</v>
      </c>
      <c r="F14">
        <v>169</v>
      </c>
      <c r="G14">
        <v>169.5</v>
      </c>
      <c r="H14">
        <v>194.1</v>
      </c>
      <c r="I14">
        <v>164.1</v>
      </c>
      <c r="J14">
        <v>176.9</v>
      </c>
      <c r="K14">
        <v>169</v>
      </c>
      <c r="L14">
        <v>120.8</v>
      </c>
      <c r="M14">
        <v>199.1</v>
      </c>
      <c r="N14">
        <v>175.4</v>
      </c>
      <c r="O14">
        <v>184.8</v>
      </c>
      <c r="P14">
        <v>175.5</v>
      </c>
      <c r="Q14">
        <v>176.4</v>
      </c>
      <c r="R14" s="5">
        <f t="shared" si="0"/>
        <v>174.44615384615386</v>
      </c>
    </row>
    <row r="15" spans="1:18" hidden="1" x14ac:dyDescent="0.3">
      <c r="A15" t="s">
        <v>33</v>
      </c>
      <c r="B15">
        <v>2022</v>
      </c>
      <c r="C15" t="s">
        <v>42</v>
      </c>
      <c r="D15">
        <v>164.9</v>
      </c>
      <c r="E15">
        <v>213.7</v>
      </c>
      <c r="F15">
        <v>170.9</v>
      </c>
      <c r="G15">
        <v>170.1</v>
      </c>
      <c r="H15">
        <v>179.3</v>
      </c>
      <c r="I15">
        <v>167.5</v>
      </c>
      <c r="J15">
        <v>220.8</v>
      </c>
      <c r="K15">
        <v>169.2</v>
      </c>
      <c r="L15">
        <v>123.1</v>
      </c>
      <c r="M15">
        <v>193.6</v>
      </c>
      <c r="N15">
        <v>161.1</v>
      </c>
      <c r="O15">
        <v>190.4</v>
      </c>
      <c r="P15">
        <v>181.8</v>
      </c>
      <c r="Q15">
        <v>174.1</v>
      </c>
      <c r="R15" s="5">
        <f t="shared" si="0"/>
        <v>177.41538461538462</v>
      </c>
    </row>
    <row r="16" spans="1:18" x14ac:dyDescent="0.3">
      <c r="A16" t="s">
        <v>34</v>
      </c>
      <c r="B16">
        <v>2022</v>
      </c>
      <c r="C16" t="s">
        <v>42</v>
      </c>
      <c r="D16">
        <v>163.5</v>
      </c>
      <c r="E16">
        <v>209.2</v>
      </c>
      <c r="F16">
        <v>169.7</v>
      </c>
      <c r="G16">
        <v>169.7</v>
      </c>
      <c r="H16">
        <v>188.7</v>
      </c>
      <c r="I16">
        <v>165.7</v>
      </c>
      <c r="J16">
        <v>191.8</v>
      </c>
      <c r="K16">
        <v>169.1</v>
      </c>
      <c r="L16">
        <v>121.6</v>
      </c>
      <c r="M16">
        <v>197.3</v>
      </c>
      <c r="N16">
        <v>169.4</v>
      </c>
      <c r="O16">
        <v>187.4</v>
      </c>
      <c r="P16">
        <v>177.8</v>
      </c>
      <c r="Q16">
        <v>175.3</v>
      </c>
      <c r="R16" s="5">
        <f t="shared" si="0"/>
        <v>175.45384615384617</v>
      </c>
    </row>
    <row r="17" spans="1:18" hidden="1" x14ac:dyDescent="0.3">
      <c r="A17" t="s">
        <v>30</v>
      </c>
      <c r="B17">
        <v>2022</v>
      </c>
      <c r="C17" t="s">
        <v>43</v>
      </c>
      <c r="D17">
        <v>164.7</v>
      </c>
      <c r="E17">
        <v>208.8</v>
      </c>
      <c r="F17">
        <v>170.3</v>
      </c>
      <c r="G17">
        <v>170.9</v>
      </c>
      <c r="H17">
        <v>191.6</v>
      </c>
      <c r="I17">
        <v>162.19999999999999</v>
      </c>
      <c r="J17">
        <v>184.8</v>
      </c>
      <c r="K17">
        <v>169.7</v>
      </c>
      <c r="L17">
        <v>121.1</v>
      </c>
      <c r="M17">
        <v>201.6</v>
      </c>
      <c r="N17">
        <v>175.8</v>
      </c>
      <c r="O17">
        <v>185.6</v>
      </c>
      <c r="P17">
        <v>177.4</v>
      </c>
      <c r="Q17">
        <v>177.9</v>
      </c>
      <c r="R17" s="5">
        <f t="shared" si="0"/>
        <v>175.73076923076923</v>
      </c>
    </row>
    <row r="18" spans="1:18" hidden="1" x14ac:dyDescent="0.3">
      <c r="A18" t="s">
        <v>33</v>
      </c>
      <c r="B18">
        <v>2022</v>
      </c>
      <c r="C18" t="s">
        <v>43</v>
      </c>
      <c r="D18">
        <v>166.4</v>
      </c>
      <c r="E18">
        <v>214.9</v>
      </c>
      <c r="F18">
        <v>171.9</v>
      </c>
      <c r="G18">
        <v>171</v>
      </c>
      <c r="H18">
        <v>177.7</v>
      </c>
      <c r="I18">
        <v>165.7</v>
      </c>
      <c r="J18">
        <v>228.6</v>
      </c>
      <c r="K18">
        <v>169.9</v>
      </c>
      <c r="L18">
        <v>123.4</v>
      </c>
      <c r="M18">
        <v>196.4</v>
      </c>
      <c r="N18">
        <v>161.6</v>
      </c>
      <c r="O18">
        <v>191.5</v>
      </c>
      <c r="P18">
        <v>183.3</v>
      </c>
      <c r="Q18">
        <v>175.3</v>
      </c>
      <c r="R18" s="5">
        <f t="shared" si="0"/>
        <v>178.63846153846154</v>
      </c>
    </row>
    <row r="19" spans="1:18" x14ac:dyDescent="0.3">
      <c r="A19" t="s">
        <v>34</v>
      </c>
      <c r="B19">
        <v>2022</v>
      </c>
      <c r="C19" t="s">
        <v>43</v>
      </c>
      <c r="D19">
        <v>165.2</v>
      </c>
      <c r="E19">
        <v>210.9</v>
      </c>
      <c r="F19">
        <v>170.9</v>
      </c>
      <c r="G19">
        <v>170.9</v>
      </c>
      <c r="H19">
        <v>186.5</v>
      </c>
      <c r="I19">
        <v>163.80000000000001</v>
      </c>
      <c r="J19">
        <v>199.7</v>
      </c>
      <c r="K19">
        <v>169.8</v>
      </c>
      <c r="L19">
        <v>121.9</v>
      </c>
      <c r="M19">
        <v>199.9</v>
      </c>
      <c r="N19">
        <v>169.9</v>
      </c>
      <c r="O19">
        <v>188.3</v>
      </c>
      <c r="P19">
        <v>179.6</v>
      </c>
      <c r="Q19">
        <v>176.7</v>
      </c>
      <c r="R19" s="5">
        <f t="shared" si="0"/>
        <v>176.71538461538464</v>
      </c>
    </row>
    <row r="20" spans="1:18" hidden="1" x14ac:dyDescent="0.3">
      <c r="A20" t="s">
        <v>30</v>
      </c>
      <c r="B20">
        <v>2022</v>
      </c>
      <c r="C20" t="s">
        <v>45</v>
      </c>
      <c r="D20">
        <v>166.9</v>
      </c>
      <c r="E20">
        <v>207.2</v>
      </c>
      <c r="F20">
        <v>180.2</v>
      </c>
      <c r="G20">
        <v>172.3</v>
      </c>
      <c r="H20">
        <v>194</v>
      </c>
      <c r="I20">
        <v>159.1</v>
      </c>
      <c r="J20">
        <v>171.6</v>
      </c>
      <c r="K20">
        <v>170.2</v>
      </c>
      <c r="L20">
        <v>121.5</v>
      </c>
      <c r="M20">
        <v>204.8</v>
      </c>
      <c r="N20">
        <v>176.4</v>
      </c>
      <c r="O20">
        <v>186.9</v>
      </c>
      <c r="P20">
        <v>176.6</v>
      </c>
      <c r="Q20">
        <v>177.8</v>
      </c>
      <c r="R20" s="5">
        <f t="shared" si="0"/>
        <v>175.97692307692307</v>
      </c>
    </row>
    <row r="21" spans="1:18" hidden="1" x14ac:dyDescent="0.3">
      <c r="A21" t="s">
        <v>33</v>
      </c>
      <c r="B21">
        <v>2022</v>
      </c>
      <c r="C21" t="s">
        <v>45</v>
      </c>
      <c r="D21">
        <v>168.4</v>
      </c>
      <c r="E21">
        <v>213.4</v>
      </c>
      <c r="F21">
        <v>183.2</v>
      </c>
      <c r="G21">
        <v>172.3</v>
      </c>
      <c r="H21">
        <v>180</v>
      </c>
      <c r="I21">
        <v>162.6</v>
      </c>
      <c r="J21">
        <v>205.5</v>
      </c>
      <c r="K21">
        <v>171</v>
      </c>
      <c r="L21">
        <v>123.4</v>
      </c>
      <c r="M21">
        <v>198.8</v>
      </c>
      <c r="N21">
        <v>162.1</v>
      </c>
      <c r="O21">
        <v>192.4</v>
      </c>
      <c r="P21">
        <v>181.3</v>
      </c>
      <c r="Q21">
        <v>174.1</v>
      </c>
      <c r="R21" s="5">
        <f t="shared" si="0"/>
        <v>178.03076923076924</v>
      </c>
    </row>
    <row r="22" spans="1:18" x14ac:dyDescent="0.3">
      <c r="A22" t="s">
        <v>34</v>
      </c>
      <c r="B22">
        <v>2022</v>
      </c>
      <c r="C22" t="s">
        <v>45</v>
      </c>
      <c r="D22">
        <v>167.4</v>
      </c>
      <c r="E22">
        <v>209.4</v>
      </c>
      <c r="F22">
        <v>181.4</v>
      </c>
      <c r="G22">
        <v>172.3</v>
      </c>
      <c r="H22">
        <v>188.9</v>
      </c>
      <c r="I22">
        <v>160.69999999999999</v>
      </c>
      <c r="J22">
        <v>183.1</v>
      </c>
      <c r="K22">
        <v>170.5</v>
      </c>
      <c r="L22">
        <v>122.1</v>
      </c>
      <c r="M22">
        <v>202.8</v>
      </c>
      <c r="N22">
        <v>170.4</v>
      </c>
      <c r="O22">
        <v>189.5</v>
      </c>
      <c r="P22">
        <v>178.3</v>
      </c>
      <c r="Q22">
        <v>176.5</v>
      </c>
      <c r="R22" s="5">
        <f t="shared" si="0"/>
        <v>176.67692307692309</v>
      </c>
    </row>
    <row r="23" spans="1:18" hidden="1" x14ac:dyDescent="0.3">
      <c r="A23" t="s">
        <v>30</v>
      </c>
      <c r="B23">
        <v>2022</v>
      </c>
      <c r="C23" t="s">
        <v>46</v>
      </c>
      <c r="D23">
        <v>168.8</v>
      </c>
      <c r="E23">
        <v>206.9</v>
      </c>
      <c r="F23">
        <v>189.1</v>
      </c>
      <c r="G23">
        <v>173.4</v>
      </c>
      <c r="H23">
        <v>193.9</v>
      </c>
      <c r="I23">
        <v>156.69999999999999</v>
      </c>
      <c r="J23">
        <v>150.19999999999999</v>
      </c>
      <c r="K23">
        <v>170.5</v>
      </c>
      <c r="L23">
        <v>121.2</v>
      </c>
      <c r="M23">
        <v>207.5</v>
      </c>
      <c r="N23">
        <v>176.8</v>
      </c>
      <c r="O23">
        <v>187.7</v>
      </c>
      <c r="P23">
        <v>174.4</v>
      </c>
      <c r="Q23">
        <v>177.1</v>
      </c>
      <c r="R23" s="5">
        <f t="shared" si="0"/>
        <v>175.16153846153844</v>
      </c>
    </row>
    <row r="24" spans="1:18" hidden="1" x14ac:dyDescent="0.3">
      <c r="A24" t="s">
        <v>33</v>
      </c>
      <c r="B24">
        <v>2022</v>
      </c>
      <c r="C24" t="s">
        <v>46</v>
      </c>
      <c r="D24">
        <v>170.2</v>
      </c>
      <c r="E24">
        <v>212.9</v>
      </c>
      <c r="F24">
        <v>191.9</v>
      </c>
      <c r="G24">
        <v>173.9</v>
      </c>
      <c r="H24">
        <v>179.1</v>
      </c>
      <c r="I24">
        <v>159.5</v>
      </c>
      <c r="J24">
        <v>178.7</v>
      </c>
      <c r="K24">
        <v>171.3</v>
      </c>
      <c r="L24">
        <v>123.1</v>
      </c>
      <c r="M24">
        <v>200.5</v>
      </c>
      <c r="N24">
        <v>162.80000000000001</v>
      </c>
      <c r="O24">
        <v>193.3</v>
      </c>
      <c r="P24">
        <v>178.6</v>
      </c>
      <c r="Q24">
        <v>174.1</v>
      </c>
      <c r="R24" s="5">
        <f t="shared" si="0"/>
        <v>176.59999999999997</v>
      </c>
    </row>
    <row r="25" spans="1:18" x14ac:dyDescent="0.3">
      <c r="A25" t="s">
        <v>34</v>
      </c>
      <c r="B25">
        <v>2022</v>
      </c>
      <c r="C25" t="s">
        <v>46</v>
      </c>
      <c r="D25">
        <v>169.2</v>
      </c>
      <c r="E25">
        <v>209</v>
      </c>
      <c r="F25">
        <v>190.2</v>
      </c>
      <c r="G25">
        <v>173.6</v>
      </c>
      <c r="H25">
        <v>188.5</v>
      </c>
      <c r="I25">
        <v>158</v>
      </c>
      <c r="J25">
        <v>159.9</v>
      </c>
      <c r="K25">
        <v>170.8</v>
      </c>
      <c r="L25">
        <v>121.8</v>
      </c>
      <c r="M25">
        <v>205.2</v>
      </c>
      <c r="N25">
        <v>171</v>
      </c>
      <c r="O25">
        <v>190.3</v>
      </c>
      <c r="P25">
        <v>175.9</v>
      </c>
      <c r="Q25">
        <v>175.7</v>
      </c>
      <c r="R25" s="5">
        <f t="shared" si="0"/>
        <v>175.64615384615385</v>
      </c>
    </row>
    <row r="26" spans="1:18" hidden="1" x14ac:dyDescent="0.3">
      <c r="A26" t="s">
        <v>30</v>
      </c>
      <c r="B26">
        <v>2023</v>
      </c>
      <c r="C26" t="s">
        <v>31</v>
      </c>
      <c r="D26">
        <v>174</v>
      </c>
      <c r="E26">
        <v>208.3</v>
      </c>
      <c r="F26">
        <v>192.9</v>
      </c>
      <c r="G26">
        <v>174.3</v>
      </c>
      <c r="H26">
        <v>192.6</v>
      </c>
      <c r="I26">
        <v>156.30000000000001</v>
      </c>
      <c r="J26">
        <v>142.9</v>
      </c>
      <c r="K26">
        <v>170.7</v>
      </c>
      <c r="L26">
        <v>120.3</v>
      </c>
      <c r="M26">
        <v>210.5</v>
      </c>
      <c r="N26">
        <v>176.9</v>
      </c>
      <c r="O26">
        <v>188.5</v>
      </c>
      <c r="P26">
        <v>175</v>
      </c>
      <c r="Q26">
        <v>177.8</v>
      </c>
      <c r="R26" s="5">
        <f t="shared" si="0"/>
        <v>175.63076923076926</v>
      </c>
    </row>
    <row r="27" spans="1:18" hidden="1" x14ac:dyDescent="0.3">
      <c r="A27" t="s">
        <v>33</v>
      </c>
      <c r="B27">
        <v>2023</v>
      </c>
      <c r="C27" t="s">
        <v>31</v>
      </c>
      <c r="D27">
        <v>173.3</v>
      </c>
      <c r="E27">
        <v>215.2</v>
      </c>
      <c r="F27">
        <v>197</v>
      </c>
      <c r="G27">
        <v>175.2</v>
      </c>
      <c r="H27">
        <v>178</v>
      </c>
      <c r="I27">
        <v>160.5</v>
      </c>
      <c r="J27">
        <v>175.3</v>
      </c>
      <c r="K27">
        <v>171.2</v>
      </c>
      <c r="L27">
        <v>122.7</v>
      </c>
      <c r="M27">
        <v>204.3</v>
      </c>
      <c r="N27">
        <v>163.69999999999999</v>
      </c>
      <c r="O27">
        <v>194.3</v>
      </c>
      <c r="P27">
        <v>179.5</v>
      </c>
      <c r="Q27">
        <v>174.9</v>
      </c>
      <c r="R27" s="5">
        <f t="shared" si="0"/>
        <v>177.70769230769233</v>
      </c>
    </row>
    <row r="28" spans="1:18" x14ac:dyDescent="0.3">
      <c r="A28" t="s">
        <v>34</v>
      </c>
      <c r="B28">
        <v>2023</v>
      </c>
      <c r="C28" t="s">
        <v>31</v>
      </c>
      <c r="D28">
        <v>173.8</v>
      </c>
      <c r="E28">
        <v>210.7</v>
      </c>
      <c r="F28">
        <v>194.5</v>
      </c>
      <c r="G28">
        <v>174.6</v>
      </c>
      <c r="H28">
        <v>187.2</v>
      </c>
      <c r="I28">
        <v>158.30000000000001</v>
      </c>
      <c r="J28">
        <v>153.9</v>
      </c>
      <c r="K28">
        <v>170.9</v>
      </c>
      <c r="L28">
        <v>121.1</v>
      </c>
      <c r="M28">
        <v>208.4</v>
      </c>
      <c r="N28">
        <v>171.4</v>
      </c>
      <c r="O28">
        <v>191.2</v>
      </c>
      <c r="P28">
        <v>176.7</v>
      </c>
      <c r="Q28">
        <v>176.5</v>
      </c>
      <c r="R28" s="5">
        <f t="shared" si="0"/>
        <v>176.36153846153846</v>
      </c>
    </row>
    <row r="29" spans="1:18" hidden="1" x14ac:dyDescent="0.3">
      <c r="A29" t="s">
        <v>30</v>
      </c>
      <c r="B29">
        <v>2023</v>
      </c>
      <c r="C29" t="s">
        <v>35</v>
      </c>
      <c r="D29">
        <v>174.2</v>
      </c>
      <c r="E29">
        <v>205.2</v>
      </c>
      <c r="F29">
        <v>173.9</v>
      </c>
      <c r="G29">
        <v>177</v>
      </c>
      <c r="H29">
        <v>183.4</v>
      </c>
      <c r="I29">
        <v>167.2</v>
      </c>
      <c r="J29">
        <v>140.9</v>
      </c>
      <c r="K29">
        <v>170.4</v>
      </c>
      <c r="L29">
        <v>119.1</v>
      </c>
      <c r="M29">
        <v>212.1</v>
      </c>
      <c r="N29">
        <v>177.6</v>
      </c>
      <c r="O29">
        <v>189.9</v>
      </c>
      <c r="P29">
        <v>174.8</v>
      </c>
      <c r="Q29">
        <v>178</v>
      </c>
      <c r="R29" s="5">
        <f t="shared" si="0"/>
        <v>174.28461538461536</v>
      </c>
    </row>
    <row r="30" spans="1:18" hidden="1" x14ac:dyDescent="0.3">
      <c r="A30" t="s">
        <v>33</v>
      </c>
      <c r="B30">
        <v>2023</v>
      </c>
      <c r="C30" t="s">
        <v>35</v>
      </c>
      <c r="D30">
        <v>174.7</v>
      </c>
      <c r="E30">
        <v>212.2</v>
      </c>
      <c r="F30">
        <v>177.2</v>
      </c>
      <c r="G30">
        <v>177.9</v>
      </c>
      <c r="H30">
        <v>172.2</v>
      </c>
      <c r="I30">
        <v>172.1</v>
      </c>
      <c r="J30">
        <v>175.8</v>
      </c>
      <c r="K30">
        <v>172.2</v>
      </c>
      <c r="L30">
        <v>121.9</v>
      </c>
      <c r="M30">
        <v>204.8</v>
      </c>
      <c r="N30">
        <v>164.9</v>
      </c>
      <c r="O30">
        <v>196.6</v>
      </c>
      <c r="P30">
        <v>180.7</v>
      </c>
      <c r="Q30">
        <v>176.3</v>
      </c>
      <c r="R30" s="5">
        <f t="shared" si="0"/>
        <v>177.16923076923075</v>
      </c>
    </row>
    <row r="31" spans="1:18" x14ac:dyDescent="0.3">
      <c r="A31" t="s">
        <v>34</v>
      </c>
      <c r="B31">
        <v>2023</v>
      </c>
      <c r="C31" t="s">
        <v>35</v>
      </c>
      <c r="D31">
        <v>174.4</v>
      </c>
      <c r="E31">
        <v>207.7</v>
      </c>
      <c r="F31">
        <v>175.2</v>
      </c>
      <c r="G31">
        <v>177.3</v>
      </c>
      <c r="H31">
        <v>179.3</v>
      </c>
      <c r="I31">
        <v>169.5</v>
      </c>
      <c r="J31">
        <v>152.69999999999999</v>
      </c>
      <c r="K31">
        <v>171</v>
      </c>
      <c r="L31">
        <v>120</v>
      </c>
      <c r="M31">
        <v>209.7</v>
      </c>
      <c r="N31">
        <v>172.3</v>
      </c>
      <c r="O31">
        <v>193</v>
      </c>
      <c r="P31">
        <v>177</v>
      </c>
      <c r="Q31">
        <v>177.2</v>
      </c>
      <c r="R31" s="5">
        <f t="shared" si="0"/>
        <v>175.3153846153846</v>
      </c>
    </row>
    <row r="32" spans="1:18" hidden="1" x14ac:dyDescent="0.3">
      <c r="A32" t="s">
        <v>30</v>
      </c>
      <c r="B32">
        <v>2023</v>
      </c>
      <c r="C32" t="s">
        <v>36</v>
      </c>
      <c r="D32">
        <v>174.3</v>
      </c>
      <c r="E32">
        <v>205.2</v>
      </c>
      <c r="F32">
        <v>173.9</v>
      </c>
      <c r="G32">
        <v>177</v>
      </c>
      <c r="H32">
        <v>183.3</v>
      </c>
      <c r="I32">
        <v>167.2</v>
      </c>
      <c r="J32">
        <v>140.9</v>
      </c>
      <c r="K32">
        <v>170.5</v>
      </c>
      <c r="L32">
        <v>119.1</v>
      </c>
      <c r="M32">
        <v>212.1</v>
      </c>
      <c r="N32">
        <v>177.6</v>
      </c>
      <c r="O32">
        <v>189.9</v>
      </c>
      <c r="P32">
        <v>174.8</v>
      </c>
      <c r="Q32">
        <v>178</v>
      </c>
      <c r="R32" s="5">
        <f t="shared" si="0"/>
        <v>174.2923076923077</v>
      </c>
    </row>
    <row r="33" spans="1:18" hidden="1" x14ac:dyDescent="0.3">
      <c r="A33" t="s">
        <v>33</v>
      </c>
      <c r="B33">
        <v>2023</v>
      </c>
      <c r="C33" t="s">
        <v>36</v>
      </c>
      <c r="D33">
        <v>174.7</v>
      </c>
      <c r="E33">
        <v>212.2</v>
      </c>
      <c r="F33">
        <v>177.2</v>
      </c>
      <c r="G33">
        <v>177.9</v>
      </c>
      <c r="H33">
        <v>172.2</v>
      </c>
      <c r="I33">
        <v>172.1</v>
      </c>
      <c r="J33">
        <v>175.9</v>
      </c>
      <c r="K33">
        <v>172.2</v>
      </c>
      <c r="L33">
        <v>121.9</v>
      </c>
      <c r="M33">
        <v>204.8</v>
      </c>
      <c r="N33">
        <v>164.9</v>
      </c>
      <c r="O33">
        <v>196.6</v>
      </c>
      <c r="P33">
        <v>180.8</v>
      </c>
      <c r="Q33">
        <v>176.3</v>
      </c>
      <c r="R33" s="5">
        <f t="shared" si="0"/>
        <v>177.1846153846154</v>
      </c>
    </row>
    <row r="34" spans="1:18" x14ac:dyDescent="0.3">
      <c r="A34" t="s">
        <v>34</v>
      </c>
      <c r="B34">
        <v>2023</v>
      </c>
      <c r="C34" t="s">
        <v>36</v>
      </c>
      <c r="D34">
        <v>174.4</v>
      </c>
      <c r="E34">
        <v>207.7</v>
      </c>
      <c r="F34">
        <v>175.2</v>
      </c>
      <c r="G34">
        <v>177.3</v>
      </c>
      <c r="H34">
        <v>179.2</v>
      </c>
      <c r="I34">
        <v>169.5</v>
      </c>
      <c r="J34">
        <v>152.80000000000001</v>
      </c>
      <c r="K34">
        <v>171.1</v>
      </c>
      <c r="L34">
        <v>120</v>
      </c>
      <c r="M34">
        <v>209.7</v>
      </c>
      <c r="N34">
        <v>172.3</v>
      </c>
      <c r="O34">
        <v>193</v>
      </c>
      <c r="P34">
        <v>177</v>
      </c>
      <c r="Q34">
        <v>177.2</v>
      </c>
      <c r="R34" s="5">
        <f t="shared" si="0"/>
        <v>175.32307692307691</v>
      </c>
    </row>
    <row r="35" spans="1:18" hidden="1" x14ac:dyDescent="0.3">
      <c r="A35" t="s">
        <v>30</v>
      </c>
      <c r="B35">
        <v>2023</v>
      </c>
      <c r="C35" t="s">
        <v>37</v>
      </c>
      <c r="D35">
        <v>173.3</v>
      </c>
      <c r="E35">
        <v>206.9</v>
      </c>
      <c r="F35">
        <v>167.9</v>
      </c>
      <c r="G35">
        <v>178.2</v>
      </c>
      <c r="H35">
        <v>178.5</v>
      </c>
      <c r="I35">
        <v>173.7</v>
      </c>
      <c r="J35">
        <v>142.80000000000001</v>
      </c>
      <c r="K35">
        <v>172.8</v>
      </c>
      <c r="L35">
        <v>120.4</v>
      </c>
      <c r="M35">
        <v>215.5</v>
      </c>
      <c r="N35">
        <v>178.2</v>
      </c>
      <c r="O35">
        <v>190.5</v>
      </c>
      <c r="P35">
        <v>175.5</v>
      </c>
      <c r="Q35">
        <v>178.8</v>
      </c>
      <c r="R35" s="5">
        <f t="shared" si="0"/>
        <v>174.93846153846152</v>
      </c>
    </row>
    <row r="36" spans="1:18" hidden="1" x14ac:dyDescent="0.3">
      <c r="A36" t="s">
        <v>33</v>
      </c>
      <c r="B36">
        <v>2023</v>
      </c>
      <c r="C36" t="s">
        <v>37</v>
      </c>
      <c r="D36">
        <v>174.8</v>
      </c>
      <c r="E36">
        <v>213.7</v>
      </c>
      <c r="F36">
        <v>172.4</v>
      </c>
      <c r="G36">
        <v>178.8</v>
      </c>
      <c r="H36">
        <v>168.7</v>
      </c>
      <c r="I36">
        <v>179.2</v>
      </c>
      <c r="J36">
        <v>179.9</v>
      </c>
      <c r="K36">
        <v>174.7</v>
      </c>
      <c r="L36">
        <v>123.1</v>
      </c>
      <c r="M36">
        <v>207.8</v>
      </c>
      <c r="N36">
        <v>165.5</v>
      </c>
      <c r="O36">
        <v>197</v>
      </c>
      <c r="P36">
        <v>182.1</v>
      </c>
      <c r="Q36">
        <v>177.4</v>
      </c>
      <c r="R36" s="5">
        <f t="shared" si="0"/>
        <v>178.28461538461539</v>
      </c>
    </row>
    <row r="37" spans="1:18" x14ac:dyDescent="0.3">
      <c r="A37" t="s">
        <v>34</v>
      </c>
      <c r="B37">
        <v>2023</v>
      </c>
      <c r="C37" t="s">
        <v>37</v>
      </c>
      <c r="D37">
        <v>173.8</v>
      </c>
      <c r="E37">
        <v>209.3</v>
      </c>
      <c r="F37">
        <v>169.6</v>
      </c>
      <c r="G37">
        <v>178.4</v>
      </c>
      <c r="H37">
        <v>174.9</v>
      </c>
      <c r="I37">
        <v>176.3</v>
      </c>
      <c r="J37">
        <v>155.4</v>
      </c>
      <c r="K37">
        <v>173.4</v>
      </c>
      <c r="L37">
        <v>121.3</v>
      </c>
      <c r="M37">
        <v>212.9</v>
      </c>
      <c r="N37">
        <v>172.9</v>
      </c>
      <c r="O37">
        <v>193.5</v>
      </c>
      <c r="P37">
        <v>177.9</v>
      </c>
      <c r="Q37">
        <v>178.1</v>
      </c>
      <c r="R37" s="5">
        <f t="shared" si="0"/>
        <v>176.12307692307695</v>
      </c>
    </row>
    <row r="38" spans="1:18" hidden="1" x14ac:dyDescent="0.3">
      <c r="A38" t="s">
        <v>30</v>
      </c>
      <c r="B38">
        <v>2023</v>
      </c>
      <c r="C38" t="s">
        <v>38</v>
      </c>
      <c r="D38">
        <v>173.2</v>
      </c>
      <c r="E38">
        <v>211.5</v>
      </c>
      <c r="F38">
        <v>171</v>
      </c>
      <c r="G38">
        <v>179.6</v>
      </c>
      <c r="H38">
        <v>173.3</v>
      </c>
      <c r="I38">
        <v>169</v>
      </c>
      <c r="J38">
        <v>148.69999999999999</v>
      </c>
      <c r="K38">
        <v>174.9</v>
      </c>
      <c r="L38">
        <v>121.9</v>
      </c>
      <c r="M38">
        <v>221</v>
      </c>
      <c r="N38">
        <v>178.7</v>
      </c>
      <c r="O38">
        <v>191.1</v>
      </c>
      <c r="P38">
        <v>176.8</v>
      </c>
      <c r="Q38">
        <v>179.8</v>
      </c>
      <c r="R38" s="5">
        <f t="shared" si="0"/>
        <v>176.20769230769235</v>
      </c>
    </row>
    <row r="39" spans="1:18" hidden="1" x14ac:dyDescent="0.3">
      <c r="A39" t="s">
        <v>33</v>
      </c>
      <c r="B39">
        <v>2023</v>
      </c>
      <c r="C39" t="s">
        <v>38</v>
      </c>
      <c r="D39">
        <v>174.7</v>
      </c>
      <c r="E39">
        <v>219.4</v>
      </c>
      <c r="F39">
        <v>176.7</v>
      </c>
      <c r="G39">
        <v>179.4</v>
      </c>
      <c r="H39">
        <v>164.4</v>
      </c>
      <c r="I39">
        <v>175.8</v>
      </c>
      <c r="J39">
        <v>185</v>
      </c>
      <c r="K39">
        <v>176.9</v>
      </c>
      <c r="L39">
        <v>124.2</v>
      </c>
      <c r="M39">
        <v>211.9</v>
      </c>
      <c r="N39">
        <v>165.9</v>
      </c>
      <c r="O39">
        <v>197.7</v>
      </c>
      <c r="P39">
        <v>183.1</v>
      </c>
      <c r="Q39">
        <v>178.2</v>
      </c>
      <c r="R39" s="5">
        <f t="shared" si="0"/>
        <v>179.62307692307692</v>
      </c>
    </row>
    <row r="40" spans="1:18" x14ac:dyDescent="0.3">
      <c r="A40" t="s">
        <v>34</v>
      </c>
      <c r="B40">
        <v>2023</v>
      </c>
      <c r="C40" t="s">
        <v>38</v>
      </c>
      <c r="D40">
        <v>173.7</v>
      </c>
      <c r="E40">
        <v>214.3</v>
      </c>
      <c r="F40">
        <v>173.2</v>
      </c>
      <c r="G40">
        <v>179.5</v>
      </c>
      <c r="H40">
        <v>170</v>
      </c>
      <c r="I40">
        <v>172.2</v>
      </c>
      <c r="J40">
        <v>161</v>
      </c>
      <c r="K40">
        <v>175.6</v>
      </c>
      <c r="L40">
        <v>122.7</v>
      </c>
      <c r="M40">
        <v>218</v>
      </c>
      <c r="N40">
        <v>173.4</v>
      </c>
      <c r="O40">
        <v>194.2</v>
      </c>
      <c r="P40">
        <v>179.1</v>
      </c>
      <c r="Q40">
        <v>179.1</v>
      </c>
      <c r="R40" s="5">
        <f t="shared" si="0"/>
        <v>177.45384615384617</v>
      </c>
    </row>
  </sheetData>
  <autoFilter ref="A1:R40" xr:uid="{D00FC1B1-C3B2-462C-AEFE-F248F5EB67E1}">
    <filterColumn colId="0">
      <filters>
        <filter val="Rural+Urban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6A17A-4585-44C9-814C-79D600C40688}">
  <sheetPr filterMode="1"/>
  <dimension ref="A1:AD89"/>
  <sheetViews>
    <sheetView workbookViewId="0">
      <pane ySplit="1" topLeftCell="A73" activePane="bottomLeft" state="frozen"/>
      <selection pane="bottomLeft" activeCell="D64" sqref="D64:AD89"/>
    </sheetView>
  </sheetViews>
  <sheetFormatPr defaultRowHeight="14.4" x14ac:dyDescent="0.3"/>
  <cols>
    <col min="21" max="21" width="9.77734375" bestFit="1" customWidth="1"/>
    <col min="22" max="22" width="13.664062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hidden="1" x14ac:dyDescent="0.3">
      <c r="A2" t="s">
        <v>34</v>
      </c>
      <c r="B2">
        <v>2016</v>
      </c>
      <c r="C2" t="s">
        <v>31</v>
      </c>
      <c r="D2">
        <v>126.1</v>
      </c>
      <c r="E2">
        <v>134.1</v>
      </c>
      <c r="F2">
        <v>128.6</v>
      </c>
      <c r="G2">
        <v>129.9</v>
      </c>
      <c r="H2">
        <v>115.5</v>
      </c>
      <c r="I2">
        <v>125.7</v>
      </c>
      <c r="J2">
        <v>141.5</v>
      </c>
      <c r="K2">
        <v>170.7</v>
      </c>
      <c r="L2">
        <v>97.4</v>
      </c>
      <c r="M2">
        <v>132.9</v>
      </c>
      <c r="N2">
        <v>122.7</v>
      </c>
      <c r="O2">
        <v>135.30000000000001</v>
      </c>
      <c r="P2">
        <v>131.30000000000001</v>
      </c>
      <c r="Q2">
        <v>135.19999999999999</v>
      </c>
      <c r="R2">
        <v>130.30000000000001</v>
      </c>
      <c r="S2">
        <v>125.1</v>
      </c>
      <c r="T2">
        <v>129.5</v>
      </c>
      <c r="U2">
        <v>123.4</v>
      </c>
      <c r="V2">
        <v>122.7</v>
      </c>
      <c r="W2">
        <v>124.2</v>
      </c>
      <c r="X2">
        <v>122</v>
      </c>
      <c r="Y2">
        <v>111.1</v>
      </c>
      <c r="Z2">
        <v>119.8</v>
      </c>
      <c r="AA2">
        <v>126.3</v>
      </c>
      <c r="AB2">
        <v>114.5</v>
      </c>
      <c r="AC2">
        <v>118.5</v>
      </c>
      <c r="AD2">
        <v>126.3</v>
      </c>
    </row>
    <row r="3" spans="1:30" hidden="1" x14ac:dyDescent="0.3">
      <c r="A3" t="s">
        <v>34</v>
      </c>
      <c r="B3">
        <v>2016</v>
      </c>
      <c r="C3" t="s">
        <v>35</v>
      </c>
      <c r="D3">
        <v>126.4</v>
      </c>
      <c r="E3">
        <v>134.19999999999999</v>
      </c>
      <c r="F3">
        <v>128.69999999999999</v>
      </c>
      <c r="G3">
        <v>130.30000000000001</v>
      </c>
      <c r="H3">
        <v>114.8</v>
      </c>
      <c r="I3">
        <v>124.9</v>
      </c>
      <c r="J3">
        <v>130.30000000000001</v>
      </c>
      <c r="K3">
        <v>167.4</v>
      </c>
      <c r="L3">
        <v>98.8</v>
      </c>
      <c r="M3">
        <v>133.6</v>
      </c>
      <c r="N3">
        <v>123</v>
      </c>
      <c r="O3">
        <v>135.80000000000001</v>
      </c>
      <c r="P3">
        <v>129.9</v>
      </c>
      <c r="Q3">
        <v>135.9</v>
      </c>
      <c r="R3">
        <v>130.9</v>
      </c>
      <c r="S3">
        <v>125.8</v>
      </c>
      <c r="T3">
        <v>130.19999999999999</v>
      </c>
      <c r="U3">
        <v>124.4</v>
      </c>
      <c r="V3">
        <v>123.1</v>
      </c>
      <c r="W3">
        <v>124.6</v>
      </c>
      <c r="X3">
        <v>122.5</v>
      </c>
      <c r="Y3">
        <v>111.4</v>
      </c>
      <c r="Z3">
        <v>120.3</v>
      </c>
      <c r="AA3">
        <v>126.6</v>
      </c>
      <c r="AB3">
        <v>116.6</v>
      </c>
      <c r="AC3">
        <v>119.1</v>
      </c>
      <c r="AD3">
        <v>126</v>
      </c>
    </row>
    <row r="4" spans="1:30" hidden="1" x14ac:dyDescent="0.3">
      <c r="A4" t="s">
        <v>34</v>
      </c>
      <c r="B4">
        <v>2016</v>
      </c>
      <c r="C4" t="s">
        <v>36</v>
      </c>
      <c r="D4">
        <v>126.5</v>
      </c>
      <c r="E4">
        <v>135.1</v>
      </c>
      <c r="F4">
        <v>124.6</v>
      </c>
      <c r="G4">
        <v>130.19999999999999</v>
      </c>
      <c r="H4">
        <v>114.5</v>
      </c>
      <c r="I4">
        <v>126.2</v>
      </c>
      <c r="J4">
        <v>129.80000000000001</v>
      </c>
      <c r="K4">
        <v>164.3</v>
      </c>
      <c r="L4">
        <v>100.9</v>
      </c>
      <c r="M4">
        <v>133.9</v>
      </c>
      <c r="N4">
        <v>123.1</v>
      </c>
      <c r="O4">
        <v>136.30000000000001</v>
      </c>
      <c r="P4">
        <v>129.80000000000001</v>
      </c>
      <c r="Q4">
        <v>136.5</v>
      </c>
      <c r="R4">
        <v>131.30000000000001</v>
      </c>
      <c r="S4">
        <v>126.1</v>
      </c>
      <c r="T4">
        <v>130.5</v>
      </c>
      <c r="U4">
        <v>124.9</v>
      </c>
      <c r="V4">
        <v>122.4</v>
      </c>
      <c r="W4">
        <v>125.1</v>
      </c>
      <c r="X4">
        <v>122.9</v>
      </c>
      <c r="Y4">
        <v>110.9</v>
      </c>
      <c r="Z4">
        <v>120.6</v>
      </c>
      <c r="AA4">
        <v>126.9</v>
      </c>
      <c r="AB4">
        <v>117.3</v>
      </c>
      <c r="AC4">
        <v>119.3</v>
      </c>
      <c r="AD4">
        <v>126</v>
      </c>
    </row>
    <row r="5" spans="1:30" hidden="1" x14ac:dyDescent="0.3">
      <c r="A5" t="s">
        <v>34</v>
      </c>
      <c r="B5">
        <v>2016</v>
      </c>
      <c r="C5" t="s">
        <v>37</v>
      </c>
      <c r="D5">
        <v>126.6</v>
      </c>
      <c r="E5">
        <v>136.80000000000001</v>
      </c>
      <c r="F5">
        <v>122</v>
      </c>
      <c r="G5">
        <v>130.9</v>
      </c>
      <c r="H5">
        <v>114.8</v>
      </c>
      <c r="I5">
        <v>134.80000000000001</v>
      </c>
      <c r="J5">
        <v>135</v>
      </c>
      <c r="K5">
        <v>167.5</v>
      </c>
      <c r="L5">
        <v>106.4</v>
      </c>
      <c r="M5">
        <v>134.4</v>
      </c>
      <c r="N5">
        <v>123.6</v>
      </c>
      <c r="O5">
        <v>136.69999999999999</v>
      </c>
      <c r="P5">
        <v>131.80000000000001</v>
      </c>
      <c r="Q5">
        <v>137.1</v>
      </c>
      <c r="R5">
        <v>131.80000000000001</v>
      </c>
      <c r="S5">
        <v>126.4</v>
      </c>
      <c r="T5">
        <v>131</v>
      </c>
      <c r="U5">
        <v>125.6</v>
      </c>
      <c r="V5">
        <v>122.3</v>
      </c>
      <c r="W5">
        <v>125.5</v>
      </c>
      <c r="X5">
        <v>123.2</v>
      </c>
      <c r="Y5">
        <v>112.1</v>
      </c>
      <c r="Z5">
        <v>121.1</v>
      </c>
      <c r="AA5">
        <v>127.7</v>
      </c>
      <c r="AB5">
        <v>118.1</v>
      </c>
      <c r="AC5">
        <v>120</v>
      </c>
      <c r="AD5">
        <v>127.3</v>
      </c>
    </row>
    <row r="6" spans="1:30" hidden="1" x14ac:dyDescent="0.3">
      <c r="A6" t="s">
        <v>34</v>
      </c>
      <c r="B6">
        <v>2016</v>
      </c>
      <c r="C6" t="s">
        <v>38</v>
      </c>
      <c r="D6">
        <v>126.8</v>
      </c>
      <c r="E6">
        <v>139.1</v>
      </c>
      <c r="F6">
        <v>125.4</v>
      </c>
      <c r="G6">
        <v>131.69999999999999</v>
      </c>
      <c r="H6">
        <v>115</v>
      </c>
      <c r="I6">
        <v>136</v>
      </c>
      <c r="J6">
        <v>145.1</v>
      </c>
      <c r="K6">
        <v>171.7</v>
      </c>
      <c r="L6">
        <v>108.7</v>
      </c>
      <c r="M6">
        <v>135.30000000000001</v>
      </c>
      <c r="N6">
        <v>124.2</v>
      </c>
      <c r="O6">
        <v>137.4</v>
      </c>
      <c r="P6">
        <v>134</v>
      </c>
      <c r="Q6">
        <v>137.69999999999999</v>
      </c>
      <c r="R6">
        <v>132.19999999999999</v>
      </c>
      <c r="S6">
        <v>126.8</v>
      </c>
      <c r="T6">
        <v>131.4</v>
      </c>
      <c r="U6">
        <v>126</v>
      </c>
      <c r="V6">
        <v>122.7</v>
      </c>
      <c r="W6">
        <v>126</v>
      </c>
      <c r="X6">
        <v>123.7</v>
      </c>
      <c r="Y6">
        <v>112.8</v>
      </c>
      <c r="Z6">
        <v>121.5</v>
      </c>
      <c r="AA6">
        <v>128.5</v>
      </c>
      <c r="AB6">
        <v>119.2</v>
      </c>
      <c r="AC6">
        <v>120.7</v>
      </c>
      <c r="AD6">
        <v>128.6</v>
      </c>
    </row>
    <row r="7" spans="1:30" hidden="1" x14ac:dyDescent="0.3">
      <c r="A7" t="s">
        <v>34</v>
      </c>
      <c r="B7">
        <v>2016</v>
      </c>
      <c r="C7" t="s">
        <v>39</v>
      </c>
      <c r="D7">
        <v>127.7</v>
      </c>
      <c r="E7">
        <v>140.5</v>
      </c>
      <c r="F7">
        <v>128.30000000000001</v>
      </c>
      <c r="G7">
        <v>132.6</v>
      </c>
      <c r="H7">
        <v>115.5</v>
      </c>
      <c r="I7">
        <v>136.5</v>
      </c>
      <c r="J7">
        <v>159.69999999999999</v>
      </c>
      <c r="K7">
        <v>174.3</v>
      </c>
      <c r="L7">
        <v>109.9</v>
      </c>
      <c r="M7">
        <v>136.30000000000001</v>
      </c>
      <c r="N7">
        <v>124.4</v>
      </c>
      <c r="O7">
        <v>138.1</v>
      </c>
      <c r="P7">
        <v>136.80000000000001</v>
      </c>
      <c r="Q7">
        <v>138.69999999999999</v>
      </c>
      <c r="R7">
        <v>132.9</v>
      </c>
      <c r="S7">
        <v>127.2</v>
      </c>
      <c r="T7">
        <v>132</v>
      </c>
      <c r="U7">
        <v>125.5</v>
      </c>
      <c r="V7">
        <v>123.3</v>
      </c>
      <c r="W7">
        <v>126.4</v>
      </c>
      <c r="X7">
        <v>124.1</v>
      </c>
      <c r="Y7">
        <v>114.2</v>
      </c>
      <c r="Z7">
        <v>121.7</v>
      </c>
      <c r="AA7">
        <v>129.69999999999999</v>
      </c>
      <c r="AB7">
        <v>119.4</v>
      </c>
      <c r="AC7">
        <v>121.5</v>
      </c>
      <c r="AD7">
        <v>130.1</v>
      </c>
    </row>
    <row r="8" spans="1:30" hidden="1" x14ac:dyDescent="0.3">
      <c r="A8" t="s">
        <v>34</v>
      </c>
      <c r="B8">
        <v>2016</v>
      </c>
      <c r="C8" t="s">
        <v>40</v>
      </c>
      <c r="D8">
        <v>128.5</v>
      </c>
      <c r="E8">
        <v>141.19999999999999</v>
      </c>
      <c r="F8">
        <v>132.30000000000001</v>
      </c>
      <c r="G8">
        <v>133.5</v>
      </c>
      <c r="H8">
        <v>116.4</v>
      </c>
      <c r="I8">
        <v>137.80000000000001</v>
      </c>
      <c r="J8">
        <v>165.4</v>
      </c>
      <c r="K8">
        <v>177.4</v>
      </c>
      <c r="L8">
        <v>111.3</v>
      </c>
      <c r="M8">
        <v>137.5</v>
      </c>
      <c r="N8">
        <v>125</v>
      </c>
      <c r="O8">
        <v>138.80000000000001</v>
      </c>
      <c r="P8">
        <v>138.4</v>
      </c>
      <c r="Q8">
        <v>139.30000000000001</v>
      </c>
      <c r="R8">
        <v>133.5</v>
      </c>
      <c r="S8">
        <v>127.6</v>
      </c>
      <c r="T8">
        <v>132.69999999999999</v>
      </c>
      <c r="U8">
        <v>126.4</v>
      </c>
      <c r="V8">
        <v>123.4</v>
      </c>
      <c r="W8">
        <v>126.9</v>
      </c>
      <c r="X8">
        <v>124.5</v>
      </c>
      <c r="Y8">
        <v>113.9</v>
      </c>
      <c r="Z8">
        <v>122.4</v>
      </c>
      <c r="AA8">
        <v>130.80000000000001</v>
      </c>
      <c r="AB8">
        <v>120.5</v>
      </c>
      <c r="AC8">
        <v>121.9</v>
      </c>
      <c r="AD8">
        <v>131.1</v>
      </c>
    </row>
    <row r="9" spans="1:30" hidden="1" x14ac:dyDescent="0.3">
      <c r="A9" t="s">
        <v>34</v>
      </c>
      <c r="B9">
        <v>2016</v>
      </c>
      <c r="C9" t="s">
        <v>41</v>
      </c>
      <c r="D9">
        <v>129.30000000000001</v>
      </c>
      <c r="E9">
        <v>139.30000000000001</v>
      </c>
      <c r="F9">
        <v>131.6</v>
      </c>
      <c r="G9">
        <v>134.1</v>
      </c>
      <c r="H9">
        <v>116.9</v>
      </c>
      <c r="I9">
        <v>138.1</v>
      </c>
      <c r="J9">
        <v>159.1</v>
      </c>
      <c r="K9">
        <v>175.6</v>
      </c>
      <c r="L9">
        <v>112.9</v>
      </c>
      <c r="M9">
        <v>138.1</v>
      </c>
      <c r="N9">
        <v>125.5</v>
      </c>
      <c r="O9">
        <v>139.5</v>
      </c>
      <c r="P9">
        <v>137.9</v>
      </c>
      <c r="Q9">
        <v>140.19999999999999</v>
      </c>
      <c r="R9">
        <v>134.1</v>
      </c>
      <c r="S9">
        <v>128.19999999999999</v>
      </c>
      <c r="T9">
        <v>133.19999999999999</v>
      </c>
      <c r="U9">
        <v>127.3</v>
      </c>
      <c r="V9">
        <v>123.6</v>
      </c>
      <c r="W9">
        <v>127.4</v>
      </c>
      <c r="X9">
        <v>124.8</v>
      </c>
      <c r="Y9">
        <v>113.1</v>
      </c>
      <c r="Z9">
        <v>122.7</v>
      </c>
      <c r="AA9">
        <v>131.69999999999999</v>
      </c>
      <c r="AB9">
        <v>121.5</v>
      </c>
      <c r="AC9">
        <v>122.1</v>
      </c>
      <c r="AD9">
        <v>131.1</v>
      </c>
    </row>
    <row r="10" spans="1:30" hidden="1" x14ac:dyDescent="0.3">
      <c r="A10" t="s">
        <v>34</v>
      </c>
      <c r="B10">
        <v>2016</v>
      </c>
      <c r="C10" t="s">
        <v>42</v>
      </c>
      <c r="D10">
        <v>129.9</v>
      </c>
      <c r="E10">
        <v>138</v>
      </c>
      <c r="F10">
        <v>130.5</v>
      </c>
      <c r="G10">
        <v>134.4</v>
      </c>
      <c r="H10">
        <v>117.2</v>
      </c>
      <c r="I10">
        <v>136.1</v>
      </c>
      <c r="J10">
        <v>150.69999999999999</v>
      </c>
      <c r="K10">
        <v>171.5</v>
      </c>
      <c r="L10">
        <v>113.8</v>
      </c>
      <c r="M10">
        <v>138.80000000000001</v>
      </c>
      <c r="N10">
        <v>126</v>
      </c>
      <c r="O10">
        <v>140.19999999999999</v>
      </c>
      <c r="P10">
        <v>136.6</v>
      </c>
      <c r="Q10">
        <v>141</v>
      </c>
      <c r="R10">
        <v>134.6</v>
      </c>
      <c r="S10">
        <v>128.6</v>
      </c>
      <c r="T10">
        <v>133.80000000000001</v>
      </c>
      <c r="U10">
        <v>127.9</v>
      </c>
      <c r="V10">
        <v>124.1</v>
      </c>
      <c r="W10">
        <v>127.9</v>
      </c>
      <c r="X10">
        <v>125.4</v>
      </c>
      <c r="Y10">
        <v>114.3</v>
      </c>
      <c r="Z10">
        <v>122.9</v>
      </c>
      <c r="AA10">
        <v>131.80000000000001</v>
      </c>
      <c r="AB10">
        <v>122.1</v>
      </c>
      <c r="AC10">
        <v>122.8</v>
      </c>
      <c r="AD10">
        <v>130.9</v>
      </c>
    </row>
    <row r="11" spans="1:30" hidden="1" x14ac:dyDescent="0.3">
      <c r="A11" t="s">
        <v>34</v>
      </c>
      <c r="B11">
        <v>2016</v>
      </c>
      <c r="C11" t="s">
        <v>43</v>
      </c>
      <c r="D11">
        <v>130.5</v>
      </c>
      <c r="E11">
        <v>137.9</v>
      </c>
      <c r="F11">
        <v>130.19999999999999</v>
      </c>
      <c r="G11">
        <v>134.80000000000001</v>
      </c>
      <c r="H11">
        <v>117.8</v>
      </c>
      <c r="I11">
        <v>134.69999999999999</v>
      </c>
      <c r="J11">
        <v>151.19999999999999</v>
      </c>
      <c r="K11">
        <v>172.1</v>
      </c>
      <c r="L11">
        <v>114.1</v>
      </c>
      <c r="M11">
        <v>139.30000000000001</v>
      </c>
      <c r="N11">
        <v>126.1</v>
      </c>
      <c r="O11">
        <v>141.1</v>
      </c>
      <c r="P11">
        <v>137</v>
      </c>
      <c r="Q11">
        <v>141.80000000000001</v>
      </c>
      <c r="R11">
        <v>135.5</v>
      </c>
      <c r="S11">
        <v>129.1</v>
      </c>
      <c r="T11">
        <v>134.5</v>
      </c>
      <c r="U11">
        <v>128.69999999999999</v>
      </c>
      <c r="V11">
        <v>124.3</v>
      </c>
      <c r="W11">
        <v>128.4</v>
      </c>
      <c r="X11">
        <v>126.1</v>
      </c>
      <c r="Y11">
        <v>115.2</v>
      </c>
      <c r="Z11">
        <v>123.5</v>
      </c>
      <c r="AA11">
        <v>132.4</v>
      </c>
      <c r="AB11">
        <v>122.1</v>
      </c>
      <c r="AC11">
        <v>123.4</v>
      </c>
      <c r="AD11">
        <v>131.4</v>
      </c>
    </row>
    <row r="12" spans="1:30" hidden="1" x14ac:dyDescent="0.3">
      <c r="A12" t="s">
        <v>34</v>
      </c>
      <c r="B12">
        <v>2016</v>
      </c>
      <c r="C12" t="s">
        <v>45</v>
      </c>
      <c r="D12">
        <v>131.4</v>
      </c>
      <c r="E12">
        <v>137.80000000000001</v>
      </c>
      <c r="F12">
        <v>132</v>
      </c>
      <c r="G12">
        <v>135</v>
      </c>
      <c r="H12">
        <v>118</v>
      </c>
      <c r="I12">
        <v>134.1</v>
      </c>
      <c r="J12">
        <v>141.9</v>
      </c>
      <c r="K12">
        <v>171.7</v>
      </c>
      <c r="L12">
        <v>114.1</v>
      </c>
      <c r="M12">
        <v>139.69999999999999</v>
      </c>
      <c r="N12">
        <v>126.2</v>
      </c>
      <c r="O12">
        <v>141.80000000000001</v>
      </c>
      <c r="P12">
        <v>136.1</v>
      </c>
      <c r="Q12">
        <v>142</v>
      </c>
      <c r="R12">
        <v>135.80000000000001</v>
      </c>
      <c r="S12">
        <v>129.30000000000001</v>
      </c>
      <c r="T12">
        <v>135</v>
      </c>
      <c r="U12">
        <v>129.1</v>
      </c>
      <c r="V12">
        <v>125</v>
      </c>
      <c r="W12">
        <v>128.6</v>
      </c>
      <c r="X12">
        <v>126.4</v>
      </c>
      <c r="Y12">
        <v>115.7</v>
      </c>
      <c r="Z12">
        <v>124</v>
      </c>
      <c r="AA12">
        <v>132.80000000000001</v>
      </c>
      <c r="AB12">
        <v>122.6</v>
      </c>
      <c r="AC12">
        <v>123.8</v>
      </c>
      <c r="AD12">
        <v>131.19999999999999</v>
      </c>
    </row>
    <row r="13" spans="1:30" hidden="1" x14ac:dyDescent="0.3">
      <c r="A13" t="s">
        <v>34</v>
      </c>
      <c r="B13">
        <v>2016</v>
      </c>
      <c r="C13" t="s">
        <v>46</v>
      </c>
      <c r="D13">
        <v>132.30000000000001</v>
      </c>
      <c r="E13">
        <v>137.6</v>
      </c>
      <c r="F13">
        <v>132.9</v>
      </c>
      <c r="G13">
        <v>135.1</v>
      </c>
      <c r="H13">
        <v>118.6</v>
      </c>
      <c r="I13">
        <v>132.69999999999999</v>
      </c>
      <c r="J13">
        <v>125.3</v>
      </c>
      <c r="K13">
        <v>168.7</v>
      </c>
      <c r="L13">
        <v>114.4</v>
      </c>
      <c r="M13">
        <v>140.19999999999999</v>
      </c>
      <c r="N13">
        <v>126.6</v>
      </c>
      <c r="O13">
        <v>142.30000000000001</v>
      </c>
      <c r="P13">
        <v>134</v>
      </c>
      <c r="Q13">
        <v>143.1</v>
      </c>
      <c r="R13">
        <v>136.30000000000001</v>
      </c>
      <c r="S13">
        <v>129.80000000000001</v>
      </c>
      <c r="T13">
        <v>135.4</v>
      </c>
      <c r="U13">
        <v>128.5</v>
      </c>
      <c r="V13">
        <v>126.6</v>
      </c>
      <c r="W13">
        <v>129.19999999999999</v>
      </c>
      <c r="X13">
        <v>126.9</v>
      </c>
      <c r="Y13">
        <v>116</v>
      </c>
      <c r="Z13">
        <v>124.2</v>
      </c>
      <c r="AA13">
        <v>133.1</v>
      </c>
      <c r="AB13">
        <v>121.1</v>
      </c>
      <c r="AC13">
        <v>123.9</v>
      </c>
      <c r="AD13">
        <v>130.4</v>
      </c>
    </row>
    <row r="14" spans="1:30" hidden="1" x14ac:dyDescent="0.3">
      <c r="A14" t="s">
        <v>34</v>
      </c>
      <c r="B14">
        <v>2017</v>
      </c>
      <c r="C14" t="s">
        <v>31</v>
      </c>
      <c r="D14">
        <v>132.80000000000001</v>
      </c>
      <c r="E14">
        <v>138.19999999999999</v>
      </c>
      <c r="F14">
        <v>132.19999999999999</v>
      </c>
      <c r="G14">
        <v>135.4</v>
      </c>
      <c r="H14">
        <v>119.1</v>
      </c>
      <c r="I14">
        <v>133</v>
      </c>
      <c r="J14">
        <v>119.4</v>
      </c>
      <c r="K14">
        <v>159.5</v>
      </c>
      <c r="L14">
        <v>115.6</v>
      </c>
      <c r="M14">
        <v>139.6</v>
      </c>
      <c r="N14">
        <v>126.6</v>
      </c>
      <c r="O14">
        <v>142.80000000000001</v>
      </c>
      <c r="P14">
        <v>133.1</v>
      </c>
      <c r="Q14">
        <v>143.80000000000001</v>
      </c>
      <c r="R14">
        <v>136.6</v>
      </c>
      <c r="S14">
        <v>130.19999999999999</v>
      </c>
      <c r="T14">
        <v>135.6</v>
      </c>
      <c r="U14">
        <v>129.6</v>
      </c>
      <c r="V14">
        <v>126.8</v>
      </c>
      <c r="W14">
        <v>129.4</v>
      </c>
      <c r="X14">
        <v>127.1</v>
      </c>
      <c r="Y14">
        <v>117</v>
      </c>
      <c r="Z14">
        <v>124.2</v>
      </c>
      <c r="AA14">
        <v>133.30000000000001</v>
      </c>
      <c r="AB14">
        <v>121.7</v>
      </c>
      <c r="AC14">
        <v>124.4</v>
      </c>
      <c r="AD14">
        <v>130.30000000000001</v>
      </c>
    </row>
    <row r="15" spans="1:30" hidden="1" x14ac:dyDescent="0.3">
      <c r="A15" t="s">
        <v>34</v>
      </c>
      <c r="B15">
        <v>2017</v>
      </c>
      <c r="C15" t="s">
        <v>35</v>
      </c>
      <c r="D15">
        <v>133.1</v>
      </c>
      <c r="E15">
        <v>138.80000000000001</v>
      </c>
      <c r="F15">
        <v>129.30000000000001</v>
      </c>
      <c r="G15">
        <v>135.80000000000001</v>
      </c>
      <c r="H15">
        <v>119.2</v>
      </c>
      <c r="I15">
        <v>135.30000000000001</v>
      </c>
      <c r="J15">
        <v>119.5</v>
      </c>
      <c r="K15">
        <v>152.19999999999999</v>
      </c>
      <c r="L15">
        <v>117.3</v>
      </c>
      <c r="M15">
        <v>138.69999999999999</v>
      </c>
      <c r="N15">
        <v>126.9</v>
      </c>
      <c r="O15">
        <v>143.19999999999999</v>
      </c>
      <c r="P15">
        <v>133</v>
      </c>
      <c r="Q15">
        <v>144.4</v>
      </c>
      <c r="R15">
        <v>136.80000000000001</v>
      </c>
      <c r="S15">
        <v>130.30000000000001</v>
      </c>
      <c r="T15">
        <v>135.9</v>
      </c>
      <c r="U15">
        <v>130.5</v>
      </c>
      <c r="V15">
        <v>127.9</v>
      </c>
      <c r="W15">
        <v>129.69999999999999</v>
      </c>
      <c r="X15">
        <v>127.4</v>
      </c>
      <c r="Y15">
        <v>117.4</v>
      </c>
      <c r="Z15">
        <v>124.6</v>
      </c>
      <c r="AA15">
        <v>133.4</v>
      </c>
      <c r="AB15">
        <v>122.6</v>
      </c>
      <c r="AC15">
        <v>124.8</v>
      </c>
      <c r="AD15">
        <v>130.6</v>
      </c>
    </row>
    <row r="16" spans="1:30" hidden="1" x14ac:dyDescent="0.3">
      <c r="A16" t="s">
        <v>34</v>
      </c>
      <c r="B16">
        <v>2017</v>
      </c>
      <c r="C16" t="s">
        <v>36</v>
      </c>
      <c r="D16">
        <v>133.30000000000001</v>
      </c>
      <c r="E16">
        <v>139</v>
      </c>
      <c r="F16">
        <v>128.6</v>
      </c>
      <c r="G16">
        <v>136.30000000000001</v>
      </c>
      <c r="H16">
        <v>118.8</v>
      </c>
      <c r="I16">
        <v>138.30000000000001</v>
      </c>
      <c r="J16">
        <v>120.5</v>
      </c>
      <c r="K16">
        <v>143.9</v>
      </c>
      <c r="L16">
        <v>118</v>
      </c>
      <c r="M16">
        <v>137.9</v>
      </c>
      <c r="N16">
        <v>127.2</v>
      </c>
      <c r="O16">
        <v>144</v>
      </c>
      <c r="P16">
        <v>133.1</v>
      </c>
      <c r="Q16">
        <v>145.1</v>
      </c>
      <c r="R16">
        <v>137.30000000000001</v>
      </c>
      <c r="S16">
        <v>130.6</v>
      </c>
      <c r="T16">
        <v>136.4</v>
      </c>
      <c r="U16">
        <v>131.1</v>
      </c>
      <c r="V16">
        <v>129.1</v>
      </c>
      <c r="W16">
        <v>130.1</v>
      </c>
      <c r="X16">
        <v>127.8</v>
      </c>
      <c r="Y16">
        <v>117.6</v>
      </c>
      <c r="Z16">
        <v>125</v>
      </c>
      <c r="AA16">
        <v>133.80000000000001</v>
      </c>
      <c r="AB16">
        <v>122.6</v>
      </c>
      <c r="AC16">
        <v>125.1</v>
      </c>
      <c r="AD16">
        <v>130.9</v>
      </c>
    </row>
    <row r="17" spans="1:30" hidden="1" x14ac:dyDescent="0.3">
      <c r="A17" t="s">
        <v>34</v>
      </c>
      <c r="B17">
        <v>2017</v>
      </c>
      <c r="C17" t="s">
        <v>37</v>
      </c>
      <c r="D17">
        <v>133</v>
      </c>
      <c r="E17">
        <v>139.4</v>
      </c>
      <c r="F17">
        <v>126.1</v>
      </c>
      <c r="G17">
        <v>137.19999999999999</v>
      </c>
      <c r="H17">
        <v>118.4</v>
      </c>
      <c r="I17">
        <v>139.9</v>
      </c>
      <c r="J17">
        <v>123.4</v>
      </c>
      <c r="K17">
        <v>140.9</v>
      </c>
      <c r="L17">
        <v>118.5</v>
      </c>
      <c r="M17">
        <v>136.5</v>
      </c>
      <c r="N17">
        <v>127.4</v>
      </c>
      <c r="O17">
        <v>144.19999999999999</v>
      </c>
      <c r="P17">
        <v>133.5</v>
      </c>
      <c r="Q17">
        <v>145.4</v>
      </c>
      <c r="R17">
        <v>138</v>
      </c>
      <c r="S17">
        <v>131.1</v>
      </c>
      <c r="T17">
        <v>137</v>
      </c>
      <c r="U17">
        <v>131.69999999999999</v>
      </c>
      <c r="V17">
        <v>129.80000000000001</v>
      </c>
      <c r="W17">
        <v>130.4</v>
      </c>
      <c r="X17">
        <v>128.1</v>
      </c>
      <c r="Y17">
        <v>116.6</v>
      </c>
      <c r="Z17">
        <v>125.1</v>
      </c>
      <c r="AA17">
        <v>134.5</v>
      </c>
      <c r="AB17">
        <v>123.1</v>
      </c>
      <c r="AC17">
        <v>125.1</v>
      </c>
      <c r="AD17">
        <v>131.1</v>
      </c>
    </row>
    <row r="18" spans="1:30" hidden="1" x14ac:dyDescent="0.3">
      <c r="A18" t="s">
        <v>34</v>
      </c>
      <c r="B18">
        <v>2017</v>
      </c>
      <c r="C18" t="s">
        <v>38</v>
      </c>
      <c r="D18">
        <v>132.9</v>
      </c>
      <c r="E18">
        <v>141.6</v>
      </c>
      <c r="F18">
        <v>126.3</v>
      </c>
      <c r="G18">
        <v>137.69999999999999</v>
      </c>
      <c r="H18">
        <v>118.1</v>
      </c>
      <c r="I18">
        <v>137.9</v>
      </c>
      <c r="J18">
        <v>125.6</v>
      </c>
      <c r="K18">
        <v>138.30000000000001</v>
      </c>
      <c r="L18">
        <v>119.4</v>
      </c>
      <c r="M18">
        <v>136</v>
      </c>
      <c r="N18">
        <v>127.6</v>
      </c>
      <c r="O18">
        <v>144.5</v>
      </c>
      <c r="P18">
        <v>133.69999999999999</v>
      </c>
      <c r="Q18">
        <v>146.19999999999999</v>
      </c>
      <c r="R18">
        <v>138.19999999999999</v>
      </c>
      <c r="S18">
        <v>131.4</v>
      </c>
      <c r="T18">
        <v>137.19999999999999</v>
      </c>
      <c r="U18">
        <v>132.1</v>
      </c>
      <c r="V18">
        <v>129.4</v>
      </c>
      <c r="W18">
        <v>130.9</v>
      </c>
      <c r="X18">
        <v>128.4</v>
      </c>
      <c r="Y18">
        <v>116.7</v>
      </c>
      <c r="Z18">
        <v>125.7</v>
      </c>
      <c r="AA18">
        <v>134.80000000000001</v>
      </c>
      <c r="AB18">
        <v>123</v>
      </c>
      <c r="AC18">
        <v>125.3</v>
      </c>
      <c r="AD18">
        <v>131.4</v>
      </c>
    </row>
    <row r="19" spans="1:30" hidden="1" x14ac:dyDescent="0.3">
      <c r="A19" t="s">
        <v>34</v>
      </c>
      <c r="B19">
        <v>2017</v>
      </c>
      <c r="C19" t="s">
        <v>39</v>
      </c>
      <c r="D19">
        <v>133.30000000000001</v>
      </c>
      <c r="E19">
        <v>145.5</v>
      </c>
      <c r="F19">
        <v>128.1</v>
      </c>
      <c r="G19">
        <v>138.1</v>
      </c>
      <c r="H19">
        <v>118.2</v>
      </c>
      <c r="I19">
        <v>139.19999999999999</v>
      </c>
      <c r="J19">
        <v>133.30000000000001</v>
      </c>
      <c r="K19">
        <v>136.19999999999999</v>
      </c>
      <c r="L19">
        <v>119.6</v>
      </c>
      <c r="M19">
        <v>135.30000000000001</v>
      </c>
      <c r="N19">
        <v>127.8</v>
      </c>
      <c r="O19">
        <v>144.9</v>
      </c>
      <c r="P19">
        <v>135.19999999999999</v>
      </c>
      <c r="Q19">
        <v>146.5</v>
      </c>
      <c r="R19">
        <v>138.5</v>
      </c>
      <c r="S19">
        <v>131.69999999999999</v>
      </c>
      <c r="T19">
        <v>137.5</v>
      </c>
      <c r="U19">
        <v>131.4</v>
      </c>
      <c r="V19">
        <v>128.80000000000001</v>
      </c>
      <c r="W19">
        <v>131.19999999999999</v>
      </c>
      <c r="X19">
        <v>128.5</v>
      </c>
      <c r="Y19">
        <v>116.5</v>
      </c>
      <c r="Z19">
        <v>125.9</v>
      </c>
      <c r="AA19">
        <v>135.4</v>
      </c>
      <c r="AB19">
        <v>123.4</v>
      </c>
      <c r="AC19">
        <v>125.5</v>
      </c>
      <c r="AD19">
        <v>132</v>
      </c>
    </row>
    <row r="20" spans="1:30" hidden="1" x14ac:dyDescent="0.3">
      <c r="A20" t="s">
        <v>34</v>
      </c>
      <c r="B20">
        <v>2017</v>
      </c>
      <c r="C20" t="s">
        <v>40</v>
      </c>
      <c r="D20">
        <v>133.6</v>
      </c>
      <c r="E20">
        <v>145.69999999999999</v>
      </c>
      <c r="F20">
        <v>129.6</v>
      </c>
      <c r="G20">
        <v>138.5</v>
      </c>
      <c r="H20">
        <v>118.1</v>
      </c>
      <c r="I20">
        <v>141.80000000000001</v>
      </c>
      <c r="J20">
        <v>159.5</v>
      </c>
      <c r="K20">
        <v>133.6</v>
      </c>
      <c r="L20">
        <v>120.5</v>
      </c>
      <c r="M20">
        <v>135.19999999999999</v>
      </c>
      <c r="N20">
        <v>128.5</v>
      </c>
      <c r="O20">
        <v>145.80000000000001</v>
      </c>
      <c r="P20">
        <v>139</v>
      </c>
      <c r="Q20">
        <v>148.19999999999999</v>
      </c>
      <c r="R20">
        <v>139.30000000000001</v>
      </c>
      <c r="S20">
        <v>132.1</v>
      </c>
      <c r="T20">
        <v>138.30000000000001</v>
      </c>
      <c r="U20">
        <v>132.6</v>
      </c>
      <c r="V20">
        <v>129.4</v>
      </c>
      <c r="W20">
        <v>131.9</v>
      </c>
      <c r="X20">
        <v>129.4</v>
      </c>
      <c r="Y20">
        <v>116</v>
      </c>
      <c r="Z20">
        <v>126.6</v>
      </c>
      <c r="AA20">
        <v>136.80000000000001</v>
      </c>
      <c r="AB20">
        <v>123.6</v>
      </c>
      <c r="AC20">
        <v>125.9</v>
      </c>
      <c r="AD20">
        <v>134.19999999999999</v>
      </c>
    </row>
    <row r="21" spans="1:30" hidden="1" x14ac:dyDescent="0.3">
      <c r="A21" t="s">
        <v>34</v>
      </c>
      <c r="B21">
        <v>2017</v>
      </c>
      <c r="C21" t="s">
        <v>41</v>
      </c>
      <c r="D21">
        <v>134.30000000000001</v>
      </c>
      <c r="E21">
        <v>143.4</v>
      </c>
      <c r="F21">
        <v>129.30000000000001</v>
      </c>
      <c r="G21">
        <v>139</v>
      </c>
      <c r="H21">
        <v>118.1</v>
      </c>
      <c r="I21">
        <v>145.5</v>
      </c>
      <c r="J21">
        <v>168.6</v>
      </c>
      <c r="K21">
        <v>132.69999999999999</v>
      </c>
      <c r="L21">
        <v>121.2</v>
      </c>
      <c r="M21">
        <v>135.6</v>
      </c>
      <c r="N21">
        <v>128.69999999999999</v>
      </c>
      <c r="O21">
        <v>146.80000000000001</v>
      </c>
      <c r="P21">
        <v>140.6</v>
      </c>
      <c r="Q21">
        <v>149.80000000000001</v>
      </c>
      <c r="R21">
        <v>140.30000000000001</v>
      </c>
      <c r="S21">
        <v>133</v>
      </c>
      <c r="T21">
        <v>139.30000000000001</v>
      </c>
      <c r="U21">
        <v>134.4</v>
      </c>
      <c r="V21">
        <v>129.80000000000001</v>
      </c>
      <c r="W21">
        <v>132.80000000000001</v>
      </c>
      <c r="X21">
        <v>130.19999999999999</v>
      </c>
      <c r="Y21">
        <v>117.3</v>
      </c>
      <c r="Z21">
        <v>127.3</v>
      </c>
      <c r="AA21">
        <v>137.6</v>
      </c>
      <c r="AB21">
        <v>124.5</v>
      </c>
      <c r="AC21">
        <v>126.8</v>
      </c>
      <c r="AD21">
        <v>135.4</v>
      </c>
    </row>
    <row r="22" spans="1:30" hidden="1" x14ac:dyDescent="0.3">
      <c r="A22" t="s">
        <v>34</v>
      </c>
      <c r="B22">
        <v>2017</v>
      </c>
      <c r="C22" t="s">
        <v>42</v>
      </c>
      <c r="D22">
        <v>134.69999999999999</v>
      </c>
      <c r="E22">
        <v>142.4</v>
      </c>
      <c r="F22">
        <v>130.19999999999999</v>
      </c>
      <c r="G22">
        <v>139.6</v>
      </c>
      <c r="H22">
        <v>118.4</v>
      </c>
      <c r="I22">
        <v>143</v>
      </c>
      <c r="J22">
        <v>156.6</v>
      </c>
      <c r="K22">
        <v>132.9</v>
      </c>
      <c r="L22">
        <v>121.5</v>
      </c>
      <c r="M22">
        <v>135.6</v>
      </c>
      <c r="N22">
        <v>128.80000000000001</v>
      </c>
      <c r="O22">
        <v>147.30000000000001</v>
      </c>
      <c r="P22">
        <v>139</v>
      </c>
      <c r="Q22">
        <v>150.80000000000001</v>
      </c>
      <c r="R22">
        <v>141.1</v>
      </c>
      <c r="S22">
        <v>133.4</v>
      </c>
      <c r="T22">
        <v>140</v>
      </c>
      <c r="U22">
        <v>135.69999999999999</v>
      </c>
      <c r="V22">
        <v>131</v>
      </c>
      <c r="W22">
        <v>133.30000000000001</v>
      </c>
      <c r="X22">
        <v>130.6</v>
      </c>
      <c r="Y22">
        <v>118.3</v>
      </c>
      <c r="Z22">
        <v>127.9</v>
      </c>
      <c r="AA22">
        <v>137.4</v>
      </c>
      <c r="AB22">
        <v>125.7</v>
      </c>
      <c r="AC22">
        <v>127.5</v>
      </c>
      <c r="AD22">
        <v>135.19999999999999</v>
      </c>
    </row>
    <row r="23" spans="1:30" hidden="1" x14ac:dyDescent="0.3">
      <c r="A23" t="s">
        <v>34</v>
      </c>
      <c r="B23">
        <v>2017</v>
      </c>
      <c r="C23" t="s">
        <v>43</v>
      </c>
      <c r="D23">
        <v>135.30000000000001</v>
      </c>
      <c r="E23">
        <v>142.19999999999999</v>
      </c>
      <c r="F23">
        <v>131.19999999999999</v>
      </c>
      <c r="G23">
        <v>140.6</v>
      </c>
      <c r="H23">
        <v>119</v>
      </c>
      <c r="I23">
        <v>141.5</v>
      </c>
      <c r="J23">
        <v>162.6</v>
      </c>
      <c r="K23">
        <v>132.30000000000001</v>
      </c>
      <c r="L23">
        <v>121.8</v>
      </c>
      <c r="M23">
        <v>136.30000000000001</v>
      </c>
      <c r="N23">
        <v>128.69999999999999</v>
      </c>
      <c r="O23">
        <v>148.1</v>
      </c>
      <c r="P23">
        <v>140.1</v>
      </c>
      <c r="Q23">
        <v>151.6</v>
      </c>
      <c r="R23">
        <v>142</v>
      </c>
      <c r="S23">
        <v>134.1</v>
      </c>
      <c r="T23">
        <v>140.80000000000001</v>
      </c>
      <c r="U23">
        <v>137.30000000000001</v>
      </c>
      <c r="V23">
        <v>132.19999999999999</v>
      </c>
      <c r="W23">
        <v>133.6</v>
      </c>
      <c r="X23">
        <v>131.30000000000001</v>
      </c>
      <c r="Y23">
        <v>117.8</v>
      </c>
      <c r="Z23">
        <v>128.4</v>
      </c>
      <c r="AA23">
        <v>137.9</v>
      </c>
      <c r="AB23">
        <v>126.2</v>
      </c>
      <c r="AC23">
        <v>127.7</v>
      </c>
      <c r="AD23">
        <v>136.1</v>
      </c>
    </row>
    <row r="24" spans="1:30" hidden="1" x14ac:dyDescent="0.3">
      <c r="A24" t="s">
        <v>34</v>
      </c>
      <c r="B24">
        <v>2017</v>
      </c>
      <c r="C24" t="s">
        <v>45</v>
      </c>
      <c r="D24">
        <v>135.69999999999999</v>
      </c>
      <c r="E24">
        <v>142.4</v>
      </c>
      <c r="F24">
        <v>142.9</v>
      </c>
      <c r="G24">
        <v>140.80000000000001</v>
      </c>
      <c r="H24">
        <v>119.2</v>
      </c>
      <c r="I24">
        <v>142.19999999999999</v>
      </c>
      <c r="J24">
        <v>173.8</v>
      </c>
      <c r="K24">
        <v>131.19999999999999</v>
      </c>
      <c r="L24">
        <v>123</v>
      </c>
      <c r="M24">
        <v>136.80000000000001</v>
      </c>
      <c r="N24">
        <v>129.19999999999999</v>
      </c>
      <c r="O24">
        <v>148.9</v>
      </c>
      <c r="P24">
        <v>142.1</v>
      </c>
      <c r="Q24">
        <v>153.19999999999999</v>
      </c>
      <c r="R24">
        <v>143</v>
      </c>
      <c r="S24">
        <v>134.80000000000001</v>
      </c>
      <c r="T24">
        <v>141.80000000000001</v>
      </c>
      <c r="U24">
        <v>138.6</v>
      </c>
      <c r="V24">
        <v>135.30000000000001</v>
      </c>
      <c r="W24">
        <v>134.4</v>
      </c>
      <c r="X24">
        <v>132.6</v>
      </c>
      <c r="Y24">
        <v>118.3</v>
      </c>
      <c r="Z24">
        <v>128.9</v>
      </c>
      <c r="AA24">
        <v>138.6</v>
      </c>
      <c r="AB24">
        <v>126.8</v>
      </c>
      <c r="AC24">
        <v>128.4</v>
      </c>
      <c r="AD24">
        <v>137.6</v>
      </c>
    </row>
    <row r="25" spans="1:30" hidden="1" x14ac:dyDescent="0.3">
      <c r="A25" t="s">
        <v>34</v>
      </c>
      <c r="B25">
        <v>2017</v>
      </c>
      <c r="C25" t="s">
        <v>46</v>
      </c>
      <c r="D25">
        <v>135.80000000000001</v>
      </c>
      <c r="E25">
        <v>143.30000000000001</v>
      </c>
      <c r="F25">
        <v>145.19999999999999</v>
      </c>
      <c r="G25">
        <v>141</v>
      </c>
      <c r="H25">
        <v>120.5</v>
      </c>
      <c r="I25">
        <v>141.5</v>
      </c>
      <c r="J25">
        <v>161.69999999999999</v>
      </c>
      <c r="K25">
        <v>129.1</v>
      </c>
      <c r="L25">
        <v>121.5</v>
      </c>
      <c r="M25">
        <v>137.1</v>
      </c>
      <c r="N25">
        <v>128.80000000000001</v>
      </c>
      <c r="O25">
        <v>149</v>
      </c>
      <c r="P25">
        <v>140.5</v>
      </c>
      <c r="Q25">
        <v>154.19999999999999</v>
      </c>
      <c r="R25">
        <v>143.1</v>
      </c>
      <c r="S25">
        <v>135.1</v>
      </c>
      <c r="T25">
        <v>142</v>
      </c>
      <c r="U25">
        <v>139.1</v>
      </c>
      <c r="V25">
        <v>136.6</v>
      </c>
      <c r="W25">
        <v>134.69999999999999</v>
      </c>
      <c r="X25">
        <v>133.1</v>
      </c>
      <c r="Y25">
        <v>118.5</v>
      </c>
      <c r="Z25">
        <v>129</v>
      </c>
      <c r="AA25">
        <v>138.5</v>
      </c>
      <c r="AB25">
        <v>126.5</v>
      </c>
      <c r="AC25">
        <v>128.6</v>
      </c>
      <c r="AD25">
        <v>137.19999999999999</v>
      </c>
    </row>
    <row r="26" spans="1:30" hidden="1" x14ac:dyDescent="0.3">
      <c r="A26" t="s">
        <v>34</v>
      </c>
      <c r="B26">
        <v>2018</v>
      </c>
      <c r="C26" t="s">
        <v>31</v>
      </c>
      <c r="D26">
        <v>136</v>
      </c>
      <c r="E26">
        <v>144.19999999999999</v>
      </c>
      <c r="F26">
        <v>143.69999999999999</v>
      </c>
      <c r="G26">
        <v>141.1</v>
      </c>
      <c r="H26">
        <v>120.7</v>
      </c>
      <c r="I26">
        <v>141.30000000000001</v>
      </c>
      <c r="J26">
        <v>151.6</v>
      </c>
      <c r="K26">
        <v>127.3</v>
      </c>
      <c r="L26">
        <v>118.8</v>
      </c>
      <c r="M26">
        <v>137.5</v>
      </c>
      <c r="N26">
        <v>129</v>
      </c>
      <c r="O26">
        <v>149.5</v>
      </c>
      <c r="P26">
        <v>139.19999999999999</v>
      </c>
      <c r="Q26">
        <v>154.69999999999999</v>
      </c>
      <c r="R26">
        <v>143.5</v>
      </c>
      <c r="S26">
        <v>135.5</v>
      </c>
      <c r="T26">
        <v>142.30000000000001</v>
      </c>
      <c r="U26">
        <v>140.4</v>
      </c>
      <c r="V26">
        <v>136.6</v>
      </c>
      <c r="W26">
        <v>134.9</v>
      </c>
      <c r="X26">
        <v>133.30000000000001</v>
      </c>
      <c r="Y26">
        <v>119.3</v>
      </c>
      <c r="Z26">
        <v>129.69999999999999</v>
      </c>
      <c r="AA26">
        <v>139</v>
      </c>
      <c r="AB26">
        <v>127.3</v>
      </c>
      <c r="AC26">
        <v>129.1</v>
      </c>
      <c r="AD26">
        <v>136.9</v>
      </c>
    </row>
    <row r="27" spans="1:30" hidden="1" x14ac:dyDescent="0.3">
      <c r="A27" t="s">
        <v>34</v>
      </c>
      <c r="B27">
        <v>2018</v>
      </c>
      <c r="C27" t="s">
        <v>35</v>
      </c>
      <c r="D27">
        <v>135.9</v>
      </c>
      <c r="E27">
        <v>143.5</v>
      </c>
      <c r="F27">
        <v>140.30000000000001</v>
      </c>
      <c r="G27">
        <v>140.9</v>
      </c>
      <c r="H27">
        <v>120.4</v>
      </c>
      <c r="I27">
        <v>142.9</v>
      </c>
      <c r="J27">
        <v>140.5</v>
      </c>
      <c r="K27">
        <v>125.8</v>
      </c>
      <c r="L27">
        <v>117.1</v>
      </c>
      <c r="M27">
        <v>137.30000000000001</v>
      </c>
      <c r="N27">
        <v>128.6</v>
      </c>
      <c r="O27">
        <v>149.6</v>
      </c>
      <c r="P27">
        <v>137.6</v>
      </c>
      <c r="Q27">
        <v>154.9</v>
      </c>
      <c r="R27">
        <v>143.80000000000001</v>
      </c>
      <c r="S27">
        <v>135.6</v>
      </c>
      <c r="T27">
        <v>142.6</v>
      </c>
      <c r="U27">
        <v>141.30000000000001</v>
      </c>
      <c r="V27">
        <v>136.69999999999999</v>
      </c>
      <c r="W27">
        <v>135.19999999999999</v>
      </c>
      <c r="X27">
        <v>133.80000000000001</v>
      </c>
      <c r="Y27">
        <v>120.2</v>
      </c>
      <c r="Z27">
        <v>129.9</v>
      </c>
      <c r="AA27">
        <v>139</v>
      </c>
      <c r="AB27">
        <v>127.7</v>
      </c>
      <c r="AC27">
        <v>129.6</v>
      </c>
      <c r="AD27">
        <v>136.4</v>
      </c>
    </row>
    <row r="28" spans="1:30" hidden="1" x14ac:dyDescent="0.3">
      <c r="A28" t="s">
        <v>34</v>
      </c>
      <c r="B28">
        <v>2018</v>
      </c>
      <c r="C28" t="s">
        <v>36</v>
      </c>
      <c r="D28">
        <v>136.19999999999999</v>
      </c>
      <c r="E28">
        <v>143.6</v>
      </c>
      <c r="F28">
        <v>138.30000000000001</v>
      </c>
      <c r="G28">
        <v>141.19999999999999</v>
      </c>
      <c r="H28">
        <v>120.7</v>
      </c>
      <c r="I28">
        <v>146.19999999999999</v>
      </c>
      <c r="J28">
        <v>134.6</v>
      </c>
      <c r="K28">
        <v>124.6</v>
      </c>
      <c r="L28">
        <v>116.1</v>
      </c>
      <c r="M28">
        <v>137.80000000000001</v>
      </c>
      <c r="N28">
        <v>129.1</v>
      </c>
      <c r="O28">
        <v>150.4</v>
      </c>
      <c r="P28">
        <v>137.19999999999999</v>
      </c>
      <c r="Q28">
        <v>156.30000000000001</v>
      </c>
      <c r="R28">
        <v>144.30000000000001</v>
      </c>
      <c r="S28">
        <v>136.19999999999999</v>
      </c>
      <c r="T28">
        <v>143.1</v>
      </c>
      <c r="U28">
        <v>142</v>
      </c>
      <c r="V28">
        <v>136.5</v>
      </c>
      <c r="W28">
        <v>135.6</v>
      </c>
      <c r="X28">
        <v>134.30000000000001</v>
      </c>
      <c r="Y28">
        <v>121</v>
      </c>
      <c r="Z28">
        <v>130.4</v>
      </c>
      <c r="AA28">
        <v>139.80000000000001</v>
      </c>
      <c r="AB28">
        <v>128.19999999999999</v>
      </c>
      <c r="AC28">
        <v>130.30000000000001</v>
      </c>
      <c r="AD28">
        <v>136.5</v>
      </c>
    </row>
    <row r="29" spans="1:30" hidden="1" x14ac:dyDescent="0.3">
      <c r="A29" t="s">
        <v>34</v>
      </c>
      <c r="B29">
        <v>2018</v>
      </c>
      <c r="C29" t="s">
        <v>37</v>
      </c>
      <c r="D29">
        <v>136.4</v>
      </c>
      <c r="E29">
        <v>144.4</v>
      </c>
      <c r="F29">
        <v>133.9</v>
      </c>
      <c r="G29">
        <v>141.6</v>
      </c>
      <c r="H29">
        <v>121</v>
      </c>
      <c r="I29">
        <v>153.5</v>
      </c>
      <c r="J29">
        <v>132.6</v>
      </c>
      <c r="K29">
        <v>123.5</v>
      </c>
      <c r="L29">
        <v>113.7</v>
      </c>
      <c r="M29">
        <v>138.19999999999999</v>
      </c>
      <c r="N29">
        <v>129.6</v>
      </c>
      <c r="O29">
        <v>151.19999999999999</v>
      </c>
      <c r="P29">
        <v>137.5</v>
      </c>
      <c r="Q29">
        <v>156.9</v>
      </c>
      <c r="R29">
        <v>145.30000000000001</v>
      </c>
      <c r="S29">
        <v>136.69999999999999</v>
      </c>
      <c r="T29">
        <v>144</v>
      </c>
      <c r="U29">
        <v>142.9</v>
      </c>
      <c r="V29">
        <v>136.5</v>
      </c>
      <c r="W29">
        <v>136.6</v>
      </c>
      <c r="X29">
        <v>135.19999999999999</v>
      </c>
      <c r="Y29">
        <v>121.9</v>
      </c>
      <c r="Z29">
        <v>131.30000000000001</v>
      </c>
      <c r="AA29">
        <v>141.4</v>
      </c>
      <c r="AB29">
        <v>129.19999999999999</v>
      </c>
      <c r="AC29">
        <v>131.30000000000001</v>
      </c>
      <c r="AD29">
        <v>137.1</v>
      </c>
    </row>
    <row r="30" spans="1:30" hidden="1" x14ac:dyDescent="0.3">
      <c r="A30" t="s">
        <v>34</v>
      </c>
      <c r="B30">
        <v>2018</v>
      </c>
      <c r="C30" t="s">
        <v>38</v>
      </c>
      <c r="D30">
        <v>136.6</v>
      </c>
      <c r="E30">
        <v>146.6</v>
      </c>
      <c r="F30">
        <v>133.6</v>
      </c>
      <c r="G30">
        <v>142.1</v>
      </c>
      <c r="H30">
        <v>121</v>
      </c>
      <c r="I30">
        <v>154.6</v>
      </c>
      <c r="J30">
        <v>135.6</v>
      </c>
      <c r="K30">
        <v>122.3</v>
      </c>
      <c r="L30">
        <v>109.6</v>
      </c>
      <c r="M30">
        <v>138.1</v>
      </c>
      <c r="N30">
        <v>129.9</v>
      </c>
      <c r="O30">
        <v>151.69999999999999</v>
      </c>
      <c r="P30">
        <v>138.1</v>
      </c>
      <c r="Q30">
        <v>157.9</v>
      </c>
      <c r="R30">
        <v>146</v>
      </c>
      <c r="S30">
        <v>137.4</v>
      </c>
      <c r="T30">
        <v>144.69999999999999</v>
      </c>
      <c r="U30">
        <v>143.19999999999999</v>
      </c>
      <c r="V30">
        <v>136.9</v>
      </c>
      <c r="W30">
        <v>137.4</v>
      </c>
      <c r="X30">
        <v>136</v>
      </c>
      <c r="Y30">
        <v>122.9</v>
      </c>
      <c r="Z30">
        <v>131.80000000000001</v>
      </c>
      <c r="AA30">
        <v>142.1</v>
      </c>
      <c r="AB30">
        <v>129.9</v>
      </c>
      <c r="AC30">
        <v>132.1</v>
      </c>
      <c r="AD30">
        <v>137.80000000000001</v>
      </c>
    </row>
    <row r="31" spans="1:30" hidden="1" x14ac:dyDescent="0.3">
      <c r="A31" t="s">
        <v>34</v>
      </c>
      <c r="B31">
        <v>2018</v>
      </c>
      <c r="C31" t="s">
        <v>39</v>
      </c>
      <c r="D31">
        <v>136.9</v>
      </c>
      <c r="E31">
        <v>148.69999999999999</v>
      </c>
      <c r="F31">
        <v>135.6</v>
      </c>
      <c r="G31">
        <v>142.30000000000001</v>
      </c>
      <c r="H31">
        <v>121.3</v>
      </c>
      <c r="I31">
        <v>153.19999999999999</v>
      </c>
      <c r="J31">
        <v>143.69999999999999</v>
      </c>
      <c r="K31">
        <v>121.4</v>
      </c>
      <c r="L31">
        <v>111.1</v>
      </c>
      <c r="M31">
        <v>138.4</v>
      </c>
      <c r="N31">
        <v>130.30000000000001</v>
      </c>
      <c r="O31">
        <v>151.80000000000001</v>
      </c>
      <c r="P31">
        <v>139.4</v>
      </c>
      <c r="Q31">
        <v>158.30000000000001</v>
      </c>
      <c r="R31">
        <v>146.4</v>
      </c>
      <c r="S31">
        <v>138.1</v>
      </c>
      <c r="T31">
        <v>145.19999999999999</v>
      </c>
      <c r="U31">
        <v>142.5</v>
      </c>
      <c r="V31">
        <v>138.1</v>
      </c>
      <c r="W31">
        <v>137.9</v>
      </c>
      <c r="X31">
        <v>136.19999999999999</v>
      </c>
      <c r="Y31">
        <v>123.7</v>
      </c>
      <c r="Z31">
        <v>132.6</v>
      </c>
      <c r="AA31">
        <v>142.80000000000001</v>
      </c>
      <c r="AB31">
        <v>130.1</v>
      </c>
      <c r="AC31">
        <v>132.6</v>
      </c>
      <c r="AD31">
        <v>138.5</v>
      </c>
    </row>
    <row r="32" spans="1:30" hidden="1" x14ac:dyDescent="0.3">
      <c r="A32" t="s">
        <v>34</v>
      </c>
      <c r="B32">
        <v>2018</v>
      </c>
      <c r="C32" t="s">
        <v>40</v>
      </c>
      <c r="D32">
        <v>137.5</v>
      </c>
      <c r="E32">
        <v>149.1</v>
      </c>
      <c r="F32">
        <v>139.19999999999999</v>
      </c>
      <c r="G32">
        <v>142.5</v>
      </c>
      <c r="H32">
        <v>121.4</v>
      </c>
      <c r="I32">
        <v>151.6</v>
      </c>
      <c r="J32">
        <v>155.9</v>
      </c>
      <c r="K32">
        <v>121.7</v>
      </c>
      <c r="L32">
        <v>113.5</v>
      </c>
      <c r="M32">
        <v>138.9</v>
      </c>
      <c r="N32">
        <v>130.30000000000001</v>
      </c>
      <c r="O32">
        <v>152.30000000000001</v>
      </c>
      <c r="P32">
        <v>141.4</v>
      </c>
      <c r="Q32">
        <v>157.5</v>
      </c>
      <c r="R32">
        <v>146.80000000000001</v>
      </c>
      <c r="S32">
        <v>138.4</v>
      </c>
      <c r="T32">
        <v>145.6</v>
      </c>
      <c r="U32">
        <v>143.6</v>
      </c>
      <c r="V32">
        <v>139.69999999999999</v>
      </c>
      <c r="W32">
        <v>138.6</v>
      </c>
      <c r="X32">
        <v>137</v>
      </c>
      <c r="Y32">
        <v>123.6</v>
      </c>
      <c r="Z32">
        <v>133.1</v>
      </c>
      <c r="AA32">
        <v>144.69999999999999</v>
      </c>
      <c r="AB32">
        <v>130.1</v>
      </c>
      <c r="AC32">
        <v>133.19999999999999</v>
      </c>
      <c r="AD32">
        <v>139.80000000000001</v>
      </c>
    </row>
    <row r="33" spans="1:30" hidden="1" x14ac:dyDescent="0.3">
      <c r="A33" t="s">
        <v>34</v>
      </c>
      <c r="B33">
        <v>2018</v>
      </c>
      <c r="C33" t="s">
        <v>41</v>
      </c>
      <c r="D33">
        <v>138.30000000000001</v>
      </c>
      <c r="E33">
        <v>148</v>
      </c>
      <c r="F33">
        <v>138.1</v>
      </c>
      <c r="G33">
        <v>142.6</v>
      </c>
      <c r="H33">
        <v>122.2</v>
      </c>
      <c r="I33">
        <v>150.6</v>
      </c>
      <c r="J33">
        <v>156.6</v>
      </c>
      <c r="K33">
        <v>122.4</v>
      </c>
      <c r="L33">
        <v>114.7</v>
      </c>
      <c r="M33">
        <v>139.4</v>
      </c>
      <c r="N33">
        <v>131.1</v>
      </c>
      <c r="O33">
        <v>153</v>
      </c>
      <c r="P33">
        <v>141.69999999999999</v>
      </c>
      <c r="Q33">
        <v>157.9</v>
      </c>
      <c r="R33">
        <v>147.30000000000001</v>
      </c>
      <c r="S33">
        <v>138.80000000000001</v>
      </c>
      <c r="T33">
        <v>146.1</v>
      </c>
      <c r="U33">
        <v>144.6</v>
      </c>
      <c r="V33">
        <v>140.9</v>
      </c>
      <c r="W33">
        <v>139.4</v>
      </c>
      <c r="X33">
        <v>137.69999999999999</v>
      </c>
      <c r="Y33">
        <v>124.3</v>
      </c>
      <c r="Z33">
        <v>133.6</v>
      </c>
      <c r="AA33">
        <v>146</v>
      </c>
      <c r="AB33">
        <v>130.1</v>
      </c>
      <c r="AC33">
        <v>133.9</v>
      </c>
      <c r="AD33">
        <v>140.4</v>
      </c>
    </row>
    <row r="34" spans="1:30" hidden="1" x14ac:dyDescent="0.3">
      <c r="A34" t="s">
        <v>34</v>
      </c>
      <c r="B34">
        <v>2018</v>
      </c>
      <c r="C34" t="s">
        <v>42</v>
      </c>
      <c r="D34">
        <v>138.6</v>
      </c>
      <c r="E34">
        <v>145.80000000000001</v>
      </c>
      <c r="F34">
        <v>135.1</v>
      </c>
      <c r="G34">
        <v>142.9</v>
      </c>
      <c r="H34">
        <v>122.1</v>
      </c>
      <c r="I34">
        <v>145.4</v>
      </c>
      <c r="J34">
        <v>150</v>
      </c>
      <c r="K34">
        <v>121.4</v>
      </c>
      <c r="L34">
        <v>113.7</v>
      </c>
      <c r="M34">
        <v>139.5</v>
      </c>
      <c r="N34">
        <v>130.80000000000001</v>
      </c>
      <c r="O34">
        <v>153.80000000000001</v>
      </c>
      <c r="P34">
        <v>140.4</v>
      </c>
      <c r="Q34">
        <v>159.19999999999999</v>
      </c>
      <c r="R34">
        <v>147.69999999999999</v>
      </c>
      <c r="S34">
        <v>139.1</v>
      </c>
      <c r="T34">
        <v>146.5</v>
      </c>
      <c r="U34">
        <v>145.30000000000001</v>
      </c>
      <c r="V34">
        <v>142.30000000000001</v>
      </c>
      <c r="W34">
        <v>139.69999999999999</v>
      </c>
      <c r="X34">
        <v>138.4</v>
      </c>
      <c r="Y34">
        <v>126</v>
      </c>
      <c r="Z34">
        <v>134.5</v>
      </c>
      <c r="AA34">
        <v>146.19999999999999</v>
      </c>
      <c r="AB34">
        <v>130.9</v>
      </c>
      <c r="AC34">
        <v>134.69999999999999</v>
      </c>
      <c r="AD34">
        <v>140.19999999999999</v>
      </c>
    </row>
    <row r="35" spans="1:30" hidden="1" x14ac:dyDescent="0.3">
      <c r="A35" t="s">
        <v>34</v>
      </c>
      <c r="B35">
        <v>2018</v>
      </c>
      <c r="C35" t="s">
        <v>43</v>
      </c>
      <c r="D35">
        <v>137.4</v>
      </c>
      <c r="E35">
        <v>149.5</v>
      </c>
      <c r="F35">
        <v>137.30000000000001</v>
      </c>
      <c r="G35">
        <v>141.9</v>
      </c>
      <c r="H35">
        <v>121.1</v>
      </c>
      <c r="I35">
        <v>142.5</v>
      </c>
      <c r="J35">
        <v>146.69999999999999</v>
      </c>
      <c r="K35">
        <v>119.1</v>
      </c>
      <c r="L35">
        <v>111.9</v>
      </c>
      <c r="M35">
        <v>141</v>
      </c>
      <c r="N35">
        <v>133.6</v>
      </c>
      <c r="O35">
        <v>154.5</v>
      </c>
      <c r="P35">
        <v>139.69999999999999</v>
      </c>
      <c r="Q35">
        <v>162.6</v>
      </c>
      <c r="R35">
        <v>148</v>
      </c>
      <c r="S35">
        <v>139.19999999999999</v>
      </c>
      <c r="T35">
        <v>146.80000000000001</v>
      </c>
      <c r="U35">
        <v>146.9</v>
      </c>
      <c r="V35">
        <v>145.30000000000001</v>
      </c>
      <c r="W35">
        <v>142.19999999999999</v>
      </c>
      <c r="X35">
        <v>142.1</v>
      </c>
      <c r="Y35">
        <v>125.5</v>
      </c>
      <c r="Z35">
        <v>136.5</v>
      </c>
      <c r="AA35">
        <v>147.80000000000001</v>
      </c>
      <c r="AB35">
        <v>132</v>
      </c>
      <c r="AC35">
        <v>136.30000000000001</v>
      </c>
      <c r="AD35">
        <v>140.80000000000001</v>
      </c>
    </row>
    <row r="36" spans="1:30" hidden="1" x14ac:dyDescent="0.3">
      <c r="A36" t="s">
        <v>34</v>
      </c>
      <c r="B36">
        <v>2018</v>
      </c>
      <c r="C36" t="s">
        <v>45</v>
      </c>
      <c r="D36">
        <v>137.4</v>
      </c>
      <c r="E36">
        <v>149.19999999999999</v>
      </c>
      <c r="F36">
        <v>137.1</v>
      </c>
      <c r="G36">
        <v>141.80000000000001</v>
      </c>
      <c r="H36">
        <v>121.1</v>
      </c>
      <c r="I36">
        <v>142.80000000000001</v>
      </c>
      <c r="J36">
        <v>146.69999999999999</v>
      </c>
      <c r="K36">
        <v>119.1</v>
      </c>
      <c r="L36">
        <v>111.9</v>
      </c>
      <c r="M36">
        <v>140.9</v>
      </c>
      <c r="N36">
        <v>133.5</v>
      </c>
      <c r="O36">
        <v>154.5</v>
      </c>
      <c r="P36">
        <v>139.69999999999999</v>
      </c>
      <c r="Q36">
        <v>162.6</v>
      </c>
      <c r="R36">
        <v>148</v>
      </c>
      <c r="S36">
        <v>139.1</v>
      </c>
      <c r="T36">
        <v>146.69999999999999</v>
      </c>
      <c r="U36">
        <v>146.9</v>
      </c>
      <c r="V36">
        <v>145.1</v>
      </c>
      <c r="W36">
        <v>142.19999999999999</v>
      </c>
      <c r="X36">
        <v>142.1</v>
      </c>
      <c r="Y36">
        <v>125.5</v>
      </c>
      <c r="Z36">
        <v>136.5</v>
      </c>
      <c r="AA36">
        <v>147.80000000000001</v>
      </c>
      <c r="AB36">
        <v>132</v>
      </c>
      <c r="AC36">
        <v>136.30000000000001</v>
      </c>
      <c r="AD36">
        <v>140.80000000000001</v>
      </c>
    </row>
    <row r="37" spans="1:30" hidden="1" x14ac:dyDescent="0.3">
      <c r="A37" t="s">
        <v>34</v>
      </c>
      <c r="B37">
        <v>2018</v>
      </c>
      <c r="C37" t="s">
        <v>46</v>
      </c>
      <c r="D37">
        <v>137.5</v>
      </c>
      <c r="E37">
        <v>150.5</v>
      </c>
      <c r="F37">
        <v>138.80000000000001</v>
      </c>
      <c r="G37">
        <v>142.1</v>
      </c>
      <c r="H37">
        <v>122</v>
      </c>
      <c r="I37">
        <v>139.4</v>
      </c>
      <c r="J37">
        <v>135.19999999999999</v>
      </c>
      <c r="K37">
        <v>119.8</v>
      </c>
      <c r="L37">
        <v>110.3</v>
      </c>
      <c r="M37">
        <v>140.6</v>
      </c>
      <c r="N37">
        <v>133.80000000000001</v>
      </c>
      <c r="O37">
        <v>154.6</v>
      </c>
      <c r="P37">
        <v>138.19999999999999</v>
      </c>
      <c r="Q37">
        <v>163</v>
      </c>
      <c r="R37">
        <v>148.1</v>
      </c>
      <c r="S37">
        <v>139.4</v>
      </c>
      <c r="T37">
        <v>146.80000000000001</v>
      </c>
      <c r="U37">
        <v>146.5</v>
      </c>
      <c r="V37">
        <v>142.69999999999999</v>
      </c>
      <c r="W37">
        <v>143.19999999999999</v>
      </c>
      <c r="X37">
        <v>144.9</v>
      </c>
      <c r="Y37">
        <v>123.6</v>
      </c>
      <c r="Z37">
        <v>136.80000000000001</v>
      </c>
      <c r="AA37">
        <v>150.1</v>
      </c>
      <c r="AB37">
        <v>132.19999999999999</v>
      </c>
      <c r="AC37">
        <v>136.80000000000001</v>
      </c>
      <c r="AD37">
        <v>140.1</v>
      </c>
    </row>
    <row r="38" spans="1:30" hidden="1" x14ac:dyDescent="0.3">
      <c r="A38" t="s">
        <v>34</v>
      </c>
      <c r="B38">
        <v>2019</v>
      </c>
      <c r="C38" t="s">
        <v>31</v>
      </c>
      <c r="D38">
        <v>137.1</v>
      </c>
      <c r="E38">
        <v>151.4</v>
      </c>
      <c r="F38">
        <v>140.19999999999999</v>
      </c>
      <c r="G38">
        <v>142.1</v>
      </c>
      <c r="H38">
        <v>121.8</v>
      </c>
      <c r="I38">
        <v>135.4</v>
      </c>
      <c r="J38">
        <v>131.30000000000001</v>
      </c>
      <c r="K38">
        <v>120.3</v>
      </c>
      <c r="L38">
        <v>109.1</v>
      </c>
      <c r="M38">
        <v>139.4</v>
      </c>
      <c r="N38">
        <v>133.30000000000001</v>
      </c>
      <c r="O38">
        <v>154.6</v>
      </c>
      <c r="P38">
        <v>137.4</v>
      </c>
      <c r="Q38">
        <v>163.19999999999999</v>
      </c>
      <c r="R38">
        <v>147.6</v>
      </c>
      <c r="S38">
        <v>139</v>
      </c>
      <c r="T38">
        <v>146.4</v>
      </c>
      <c r="U38">
        <v>147.69999999999999</v>
      </c>
      <c r="V38">
        <v>139.5</v>
      </c>
      <c r="W38">
        <v>143.6</v>
      </c>
      <c r="X38">
        <v>145.1</v>
      </c>
      <c r="Y38">
        <v>123.3</v>
      </c>
      <c r="Z38">
        <v>136.69999999999999</v>
      </c>
      <c r="AA38">
        <v>150.19999999999999</v>
      </c>
      <c r="AB38">
        <v>132.80000000000001</v>
      </c>
      <c r="AC38">
        <v>136.9</v>
      </c>
      <c r="AD38">
        <v>139.6</v>
      </c>
    </row>
    <row r="39" spans="1:30" hidden="1" x14ac:dyDescent="0.3">
      <c r="A39" t="s">
        <v>34</v>
      </c>
      <c r="B39">
        <v>2019</v>
      </c>
      <c r="C39" t="s">
        <v>35</v>
      </c>
      <c r="D39">
        <v>137.6</v>
      </c>
      <c r="E39">
        <v>152</v>
      </c>
      <c r="F39">
        <v>141.5</v>
      </c>
      <c r="G39">
        <v>142.19999999999999</v>
      </c>
      <c r="H39">
        <v>122</v>
      </c>
      <c r="I39">
        <v>136.4</v>
      </c>
      <c r="J39">
        <v>129.69999999999999</v>
      </c>
      <c r="K39">
        <v>121</v>
      </c>
      <c r="L39">
        <v>109</v>
      </c>
      <c r="M39">
        <v>139.69999999999999</v>
      </c>
      <c r="N39">
        <v>133.6</v>
      </c>
      <c r="O39">
        <v>154.9</v>
      </c>
      <c r="P39">
        <v>137.5</v>
      </c>
      <c r="Q39">
        <v>163.4</v>
      </c>
      <c r="R39">
        <v>147.69999999999999</v>
      </c>
      <c r="S39">
        <v>139.69999999999999</v>
      </c>
      <c r="T39">
        <v>146.5</v>
      </c>
      <c r="U39">
        <v>148.5</v>
      </c>
      <c r="V39">
        <v>138.4</v>
      </c>
      <c r="W39">
        <v>143.69999999999999</v>
      </c>
      <c r="X39">
        <v>145.6</v>
      </c>
      <c r="Y39">
        <v>123.9</v>
      </c>
      <c r="Z39">
        <v>137.1</v>
      </c>
      <c r="AA39">
        <v>150.30000000000001</v>
      </c>
      <c r="AB39">
        <v>134.1</v>
      </c>
      <c r="AC39">
        <v>137.4</v>
      </c>
      <c r="AD39">
        <v>139.9</v>
      </c>
    </row>
    <row r="40" spans="1:30" hidden="1" x14ac:dyDescent="0.3">
      <c r="A40" t="s">
        <v>34</v>
      </c>
      <c r="B40">
        <v>2019</v>
      </c>
      <c r="C40" t="s">
        <v>36</v>
      </c>
      <c r="D40">
        <v>137.80000000000001</v>
      </c>
      <c r="E40">
        <v>153</v>
      </c>
      <c r="F40">
        <v>140.30000000000001</v>
      </c>
      <c r="G40">
        <v>142.30000000000001</v>
      </c>
      <c r="H40">
        <v>122</v>
      </c>
      <c r="I40">
        <v>137.6</v>
      </c>
      <c r="J40">
        <v>132.6</v>
      </c>
      <c r="K40">
        <v>121.8</v>
      </c>
      <c r="L40">
        <v>109</v>
      </c>
      <c r="M40">
        <v>139.5</v>
      </c>
      <c r="N40">
        <v>133.69999999999999</v>
      </c>
      <c r="O40">
        <v>155.19999999999999</v>
      </c>
      <c r="P40">
        <v>138.1</v>
      </c>
      <c r="Q40">
        <v>163.5</v>
      </c>
      <c r="R40">
        <v>147.9</v>
      </c>
      <c r="S40">
        <v>139.9</v>
      </c>
      <c r="T40">
        <v>146.69999999999999</v>
      </c>
      <c r="U40">
        <v>149</v>
      </c>
      <c r="V40">
        <v>139.69999999999999</v>
      </c>
      <c r="W40">
        <v>143.80000000000001</v>
      </c>
      <c r="X40">
        <v>146.19999999999999</v>
      </c>
      <c r="Y40">
        <v>124.6</v>
      </c>
      <c r="Z40">
        <v>137.69999999999999</v>
      </c>
      <c r="AA40">
        <v>150.30000000000001</v>
      </c>
      <c r="AB40">
        <v>133.4</v>
      </c>
      <c r="AC40">
        <v>137.69999999999999</v>
      </c>
      <c r="AD40">
        <v>140.4</v>
      </c>
    </row>
    <row r="41" spans="1:30" hidden="1" x14ac:dyDescent="0.3">
      <c r="A41" t="s">
        <v>34</v>
      </c>
      <c r="B41">
        <v>2019</v>
      </c>
      <c r="C41" t="s">
        <v>38</v>
      </c>
      <c r="D41">
        <v>138.30000000000001</v>
      </c>
      <c r="E41">
        <v>158.5</v>
      </c>
      <c r="F41">
        <v>136</v>
      </c>
      <c r="G41">
        <v>142.5</v>
      </c>
      <c r="H41">
        <v>122</v>
      </c>
      <c r="I41">
        <v>146.5</v>
      </c>
      <c r="J41">
        <v>143</v>
      </c>
      <c r="K41">
        <v>124.9</v>
      </c>
      <c r="L41">
        <v>109.9</v>
      </c>
      <c r="M41">
        <v>139.9</v>
      </c>
      <c r="N41">
        <v>134</v>
      </c>
      <c r="O41">
        <v>155.5</v>
      </c>
      <c r="P41">
        <v>140.9</v>
      </c>
      <c r="Q41">
        <v>164.1</v>
      </c>
      <c r="R41">
        <v>148.4</v>
      </c>
      <c r="S41">
        <v>140.4</v>
      </c>
      <c r="T41">
        <v>147.30000000000001</v>
      </c>
      <c r="U41">
        <v>150.1</v>
      </c>
      <c r="V41">
        <v>140.30000000000001</v>
      </c>
      <c r="W41">
        <v>143.69999999999999</v>
      </c>
      <c r="X41">
        <v>146.9</v>
      </c>
      <c r="Y41">
        <v>124.9</v>
      </c>
      <c r="Z41">
        <v>139.19999999999999</v>
      </c>
      <c r="AA41">
        <v>151.6</v>
      </c>
      <c r="AB41">
        <v>133.4</v>
      </c>
      <c r="AC41">
        <v>138.19999999999999</v>
      </c>
      <c r="AD41">
        <v>142</v>
      </c>
    </row>
    <row r="42" spans="1:30" hidden="1" x14ac:dyDescent="0.3">
      <c r="A42" t="s">
        <v>34</v>
      </c>
      <c r="B42">
        <v>2019</v>
      </c>
      <c r="C42" t="s">
        <v>39</v>
      </c>
      <c r="D42">
        <v>138.69999999999999</v>
      </c>
      <c r="E42">
        <v>162.1</v>
      </c>
      <c r="F42">
        <v>137.80000000000001</v>
      </c>
      <c r="G42">
        <v>143.30000000000001</v>
      </c>
      <c r="H42">
        <v>122.2</v>
      </c>
      <c r="I42">
        <v>146.80000000000001</v>
      </c>
      <c r="J42">
        <v>150.5</v>
      </c>
      <c r="K42">
        <v>128.30000000000001</v>
      </c>
      <c r="L42">
        <v>111</v>
      </c>
      <c r="M42">
        <v>140.6</v>
      </c>
      <c r="N42">
        <v>134.19999999999999</v>
      </c>
      <c r="O42">
        <v>155.9</v>
      </c>
      <c r="P42">
        <v>142.69999999999999</v>
      </c>
      <c r="Q42">
        <v>164.9</v>
      </c>
      <c r="R42">
        <v>148.6</v>
      </c>
      <c r="S42">
        <v>140.4</v>
      </c>
      <c r="T42">
        <v>147.4</v>
      </c>
      <c r="U42">
        <v>149.4</v>
      </c>
      <c r="V42">
        <v>141.19999999999999</v>
      </c>
      <c r="W42">
        <v>143.80000000000001</v>
      </c>
      <c r="X42">
        <v>147.4</v>
      </c>
      <c r="Y42">
        <v>124.6</v>
      </c>
      <c r="Z42">
        <v>139.6</v>
      </c>
      <c r="AA42">
        <v>152.5</v>
      </c>
      <c r="AB42">
        <v>134.30000000000001</v>
      </c>
      <c r="AC42">
        <v>138.6</v>
      </c>
      <c r="AD42">
        <v>142.9</v>
      </c>
    </row>
    <row r="43" spans="1:30" hidden="1" x14ac:dyDescent="0.3">
      <c r="A43" t="s">
        <v>34</v>
      </c>
      <c r="B43">
        <v>2019</v>
      </c>
      <c r="C43" t="s">
        <v>40</v>
      </c>
      <c r="D43">
        <v>139.30000000000001</v>
      </c>
      <c r="E43">
        <v>162.69999999999999</v>
      </c>
      <c r="F43">
        <v>140</v>
      </c>
      <c r="G43">
        <v>144</v>
      </c>
      <c r="H43">
        <v>122.5</v>
      </c>
      <c r="I43">
        <v>150.30000000000001</v>
      </c>
      <c r="J43">
        <v>160.30000000000001</v>
      </c>
      <c r="K43">
        <v>130</v>
      </c>
      <c r="L43">
        <v>111.1</v>
      </c>
      <c r="M43">
        <v>141.69999999999999</v>
      </c>
      <c r="N43">
        <v>134.69999999999999</v>
      </c>
      <c r="O43">
        <v>156.19999999999999</v>
      </c>
      <c r="P43">
        <v>144.69999999999999</v>
      </c>
      <c r="Q43">
        <v>165.2</v>
      </c>
      <c r="R43">
        <v>148.9</v>
      </c>
      <c r="S43">
        <v>140.5</v>
      </c>
      <c r="T43">
        <v>147.6</v>
      </c>
      <c r="U43">
        <v>150.6</v>
      </c>
      <c r="V43">
        <v>139.30000000000001</v>
      </c>
      <c r="W43">
        <v>144.19999999999999</v>
      </c>
      <c r="X43">
        <v>147.9</v>
      </c>
      <c r="Y43">
        <v>125.6</v>
      </c>
      <c r="Z43">
        <v>140.5</v>
      </c>
      <c r="AA43">
        <v>154</v>
      </c>
      <c r="AB43">
        <v>135.69999999999999</v>
      </c>
      <c r="AC43">
        <v>139.5</v>
      </c>
      <c r="AD43">
        <v>144.19999999999999</v>
      </c>
    </row>
    <row r="44" spans="1:30" hidden="1" x14ac:dyDescent="0.3">
      <c r="A44" t="s">
        <v>34</v>
      </c>
      <c r="B44">
        <v>2019</v>
      </c>
      <c r="C44" t="s">
        <v>41</v>
      </c>
      <c r="D44">
        <v>140.1</v>
      </c>
      <c r="E44">
        <v>160.6</v>
      </c>
      <c r="F44">
        <v>138.5</v>
      </c>
      <c r="G44">
        <v>144.69999999999999</v>
      </c>
      <c r="H44">
        <v>122.9</v>
      </c>
      <c r="I44">
        <v>149.4</v>
      </c>
      <c r="J44">
        <v>167.4</v>
      </c>
      <c r="K44">
        <v>130.9</v>
      </c>
      <c r="L44">
        <v>112</v>
      </c>
      <c r="M44">
        <v>142.6</v>
      </c>
      <c r="N44">
        <v>134.9</v>
      </c>
      <c r="O44">
        <v>156.6</v>
      </c>
      <c r="P44">
        <v>145.9</v>
      </c>
      <c r="Q44">
        <v>165.8</v>
      </c>
      <c r="R44">
        <v>149.1</v>
      </c>
      <c r="S44">
        <v>140.6</v>
      </c>
      <c r="T44">
        <v>147.9</v>
      </c>
      <c r="U44">
        <v>151.6</v>
      </c>
      <c r="V44">
        <v>138.5</v>
      </c>
      <c r="W44">
        <v>144.5</v>
      </c>
      <c r="X44">
        <v>148.5</v>
      </c>
      <c r="Y44">
        <v>125.8</v>
      </c>
      <c r="Z44">
        <v>140.9</v>
      </c>
      <c r="AA44">
        <v>154.9</v>
      </c>
      <c r="AB44">
        <v>138.4</v>
      </c>
      <c r="AC44">
        <v>140.19999999999999</v>
      </c>
      <c r="AD44">
        <v>145</v>
      </c>
    </row>
    <row r="45" spans="1:30" hidden="1" x14ac:dyDescent="0.3">
      <c r="A45" t="s">
        <v>34</v>
      </c>
      <c r="B45">
        <v>2019</v>
      </c>
      <c r="C45" t="s">
        <v>42</v>
      </c>
      <c r="D45">
        <v>140.9</v>
      </c>
      <c r="E45">
        <v>160.80000000000001</v>
      </c>
      <c r="F45">
        <v>139.6</v>
      </c>
      <c r="G45">
        <v>145.4</v>
      </c>
      <c r="H45">
        <v>123.5</v>
      </c>
      <c r="I45">
        <v>146.6</v>
      </c>
      <c r="J45">
        <v>173.2</v>
      </c>
      <c r="K45">
        <v>131.6</v>
      </c>
      <c r="L45">
        <v>113.2</v>
      </c>
      <c r="M45">
        <v>144.1</v>
      </c>
      <c r="N45">
        <v>135</v>
      </c>
      <c r="O45">
        <v>156.80000000000001</v>
      </c>
      <c r="P45">
        <v>147</v>
      </c>
      <c r="Q45">
        <v>166.5</v>
      </c>
      <c r="R45">
        <v>149.19999999999999</v>
      </c>
      <c r="S45">
        <v>140.6</v>
      </c>
      <c r="T45">
        <v>147.9</v>
      </c>
      <c r="U45">
        <v>152.19999999999999</v>
      </c>
      <c r="V45">
        <v>139.19999999999999</v>
      </c>
      <c r="W45">
        <v>144.6</v>
      </c>
      <c r="X45">
        <v>149</v>
      </c>
      <c r="Y45">
        <v>126.1</v>
      </c>
      <c r="Z45">
        <v>141.30000000000001</v>
      </c>
      <c r="AA45">
        <v>155.19999999999999</v>
      </c>
      <c r="AB45">
        <v>139.69999999999999</v>
      </c>
      <c r="AC45">
        <v>140.69999999999999</v>
      </c>
      <c r="AD45">
        <v>145.80000000000001</v>
      </c>
    </row>
    <row r="46" spans="1:30" hidden="1" x14ac:dyDescent="0.3">
      <c r="A46" t="s">
        <v>34</v>
      </c>
      <c r="B46">
        <v>2019</v>
      </c>
      <c r="C46" t="s">
        <v>43</v>
      </c>
      <c r="D46">
        <v>141.80000000000001</v>
      </c>
      <c r="E46">
        <v>161</v>
      </c>
      <c r="F46">
        <v>142.6</v>
      </c>
      <c r="G46">
        <v>146.19999999999999</v>
      </c>
      <c r="H46">
        <v>123.9</v>
      </c>
      <c r="I46">
        <v>148</v>
      </c>
      <c r="J46">
        <v>188.4</v>
      </c>
      <c r="K46">
        <v>132.5</v>
      </c>
      <c r="L46">
        <v>114</v>
      </c>
      <c r="M46">
        <v>145.4</v>
      </c>
      <c r="N46">
        <v>135.1</v>
      </c>
      <c r="O46">
        <v>157.1</v>
      </c>
      <c r="P46">
        <v>149.6</v>
      </c>
      <c r="Q46">
        <v>167.1</v>
      </c>
      <c r="R46">
        <v>149.4</v>
      </c>
      <c r="S46">
        <v>140.80000000000001</v>
      </c>
      <c r="T46">
        <v>148.19999999999999</v>
      </c>
      <c r="U46">
        <v>153</v>
      </c>
      <c r="V46">
        <v>140.6</v>
      </c>
      <c r="W46">
        <v>145</v>
      </c>
      <c r="X46">
        <v>149.4</v>
      </c>
      <c r="Y46">
        <v>126.3</v>
      </c>
      <c r="Z46">
        <v>141.69999999999999</v>
      </c>
      <c r="AA46">
        <v>155.4</v>
      </c>
      <c r="AB46">
        <v>140</v>
      </c>
      <c r="AC46">
        <v>141</v>
      </c>
      <c r="AD46">
        <v>147.19999999999999</v>
      </c>
    </row>
    <row r="47" spans="1:30" hidden="1" x14ac:dyDescent="0.3">
      <c r="A47" t="s">
        <v>34</v>
      </c>
      <c r="B47">
        <v>2019</v>
      </c>
      <c r="C47" t="s">
        <v>45</v>
      </c>
      <c r="D47">
        <v>142.5</v>
      </c>
      <c r="E47">
        <v>163.19999999999999</v>
      </c>
      <c r="F47">
        <v>145.6</v>
      </c>
      <c r="G47">
        <v>146.69999999999999</v>
      </c>
      <c r="H47">
        <v>124.3</v>
      </c>
      <c r="I47">
        <v>147.4</v>
      </c>
      <c r="J47">
        <v>199.6</v>
      </c>
      <c r="K47">
        <v>135.69999999999999</v>
      </c>
      <c r="L47">
        <v>114.2</v>
      </c>
      <c r="M47">
        <v>147</v>
      </c>
      <c r="N47">
        <v>135.30000000000001</v>
      </c>
      <c r="O47">
        <v>157.5</v>
      </c>
      <c r="P47">
        <v>151.9</v>
      </c>
      <c r="Q47">
        <v>167.9</v>
      </c>
      <c r="R47">
        <v>149.9</v>
      </c>
      <c r="S47">
        <v>141</v>
      </c>
      <c r="T47">
        <v>148.6</v>
      </c>
      <c r="U47">
        <v>153.5</v>
      </c>
      <c r="V47">
        <v>142.30000000000001</v>
      </c>
      <c r="W47">
        <v>145.30000000000001</v>
      </c>
      <c r="X47">
        <v>149.9</v>
      </c>
      <c r="Y47">
        <v>126.6</v>
      </c>
      <c r="Z47">
        <v>142.1</v>
      </c>
      <c r="AA47">
        <v>155.5</v>
      </c>
      <c r="AB47">
        <v>140.30000000000001</v>
      </c>
      <c r="AC47">
        <v>141.30000000000001</v>
      </c>
      <c r="AD47">
        <v>148.6</v>
      </c>
    </row>
    <row r="48" spans="1:30" hidden="1" x14ac:dyDescent="0.3">
      <c r="A48" t="s">
        <v>34</v>
      </c>
      <c r="B48">
        <v>2019</v>
      </c>
      <c r="C48" t="s">
        <v>46</v>
      </c>
      <c r="D48">
        <v>143.5</v>
      </c>
      <c r="E48">
        <v>165</v>
      </c>
      <c r="F48">
        <v>151.1</v>
      </c>
      <c r="G48">
        <v>148.30000000000001</v>
      </c>
      <c r="H48">
        <v>125.7</v>
      </c>
      <c r="I48">
        <v>145.69999999999999</v>
      </c>
      <c r="J48">
        <v>217</v>
      </c>
      <c r="K48">
        <v>138.30000000000001</v>
      </c>
      <c r="L48">
        <v>114</v>
      </c>
      <c r="M48">
        <v>148.69999999999999</v>
      </c>
      <c r="N48">
        <v>135.80000000000001</v>
      </c>
      <c r="O48">
        <v>158</v>
      </c>
      <c r="P48">
        <v>155</v>
      </c>
      <c r="Q48">
        <v>168.5</v>
      </c>
      <c r="R48">
        <v>150.30000000000001</v>
      </c>
      <c r="S48">
        <v>141.30000000000001</v>
      </c>
      <c r="T48">
        <v>149</v>
      </c>
      <c r="U48">
        <v>152.80000000000001</v>
      </c>
      <c r="V48">
        <v>143.69999999999999</v>
      </c>
      <c r="W48">
        <v>145.80000000000001</v>
      </c>
      <c r="X48">
        <v>150.4</v>
      </c>
      <c r="Y48">
        <v>129.80000000000001</v>
      </c>
      <c r="Z48">
        <v>142.30000000000001</v>
      </c>
      <c r="AA48">
        <v>155.69999999999999</v>
      </c>
      <c r="AB48">
        <v>140.4</v>
      </c>
      <c r="AC48">
        <v>142.5</v>
      </c>
      <c r="AD48">
        <v>150.4</v>
      </c>
    </row>
    <row r="49" spans="1:30" hidden="1" x14ac:dyDescent="0.3">
      <c r="A49" t="s">
        <v>34</v>
      </c>
      <c r="B49">
        <v>2020</v>
      </c>
      <c r="C49" t="s">
        <v>31</v>
      </c>
      <c r="D49">
        <v>144.30000000000001</v>
      </c>
      <c r="E49">
        <v>167.4</v>
      </c>
      <c r="F49">
        <v>154.9</v>
      </c>
      <c r="G49">
        <v>150.1</v>
      </c>
      <c r="H49">
        <v>129.9</v>
      </c>
      <c r="I49">
        <v>143.19999999999999</v>
      </c>
      <c r="J49">
        <v>197</v>
      </c>
      <c r="K49">
        <v>140.4</v>
      </c>
      <c r="L49">
        <v>114.1</v>
      </c>
      <c r="M49">
        <v>150.9</v>
      </c>
      <c r="N49">
        <v>136.1</v>
      </c>
      <c r="O49">
        <v>158.6</v>
      </c>
      <c r="P49">
        <v>153.5</v>
      </c>
      <c r="Q49">
        <v>169.2</v>
      </c>
      <c r="R49">
        <v>150.5</v>
      </c>
      <c r="S49">
        <v>141.5</v>
      </c>
      <c r="T49">
        <v>149.19999999999999</v>
      </c>
      <c r="U49">
        <v>153.9</v>
      </c>
      <c r="V49">
        <v>144.6</v>
      </c>
      <c r="W49">
        <v>146.19999999999999</v>
      </c>
      <c r="X49">
        <v>151.19999999999999</v>
      </c>
      <c r="Y49">
        <v>130.9</v>
      </c>
      <c r="Z49">
        <v>142.80000000000001</v>
      </c>
      <c r="AA49">
        <v>156.1</v>
      </c>
      <c r="AB49">
        <v>142.30000000000001</v>
      </c>
      <c r="AC49">
        <v>143.4</v>
      </c>
      <c r="AD49">
        <v>150.19999999999999</v>
      </c>
    </row>
    <row r="50" spans="1:30" hidden="1" x14ac:dyDescent="0.3">
      <c r="A50" t="s">
        <v>34</v>
      </c>
      <c r="B50">
        <v>2020</v>
      </c>
      <c r="C50" t="s">
        <v>35</v>
      </c>
      <c r="D50">
        <v>144.80000000000001</v>
      </c>
      <c r="E50">
        <v>167.5</v>
      </c>
      <c r="F50">
        <v>151.80000000000001</v>
      </c>
      <c r="G50">
        <v>150.80000000000001</v>
      </c>
      <c r="H50">
        <v>131.4</v>
      </c>
      <c r="I50">
        <v>141.80000000000001</v>
      </c>
      <c r="J50">
        <v>170.7</v>
      </c>
      <c r="K50">
        <v>141.1</v>
      </c>
      <c r="L50">
        <v>113.6</v>
      </c>
      <c r="M50">
        <v>152</v>
      </c>
      <c r="N50">
        <v>136.5</v>
      </c>
      <c r="O50">
        <v>159.1</v>
      </c>
      <c r="P50">
        <v>150.5</v>
      </c>
      <c r="Q50">
        <v>170.1</v>
      </c>
      <c r="R50">
        <v>150.80000000000001</v>
      </c>
      <c r="S50">
        <v>141.69999999999999</v>
      </c>
      <c r="T50">
        <v>149.5</v>
      </c>
      <c r="U50">
        <v>154.80000000000001</v>
      </c>
      <c r="V50">
        <v>147.19999999999999</v>
      </c>
      <c r="W50">
        <v>146.4</v>
      </c>
      <c r="X50">
        <v>151.69999999999999</v>
      </c>
      <c r="Y50">
        <v>130.30000000000001</v>
      </c>
      <c r="Z50">
        <v>143.19999999999999</v>
      </c>
      <c r="AA50">
        <v>156.19999999999999</v>
      </c>
      <c r="AB50">
        <v>143.4</v>
      </c>
      <c r="AC50">
        <v>143.6</v>
      </c>
      <c r="AD50">
        <v>149.1</v>
      </c>
    </row>
    <row r="51" spans="1:30" hidden="1" x14ac:dyDescent="0.3">
      <c r="A51" t="s">
        <v>34</v>
      </c>
      <c r="B51">
        <v>2020</v>
      </c>
      <c r="C51" t="s">
        <v>36</v>
      </c>
      <c r="D51">
        <v>145.1</v>
      </c>
      <c r="E51">
        <v>167</v>
      </c>
      <c r="F51">
        <v>148.1</v>
      </c>
      <c r="G51">
        <v>151.5</v>
      </c>
      <c r="H51">
        <v>131.19999999999999</v>
      </c>
      <c r="I51">
        <v>142.5</v>
      </c>
      <c r="J51">
        <v>157.30000000000001</v>
      </c>
      <c r="K51">
        <v>141.1</v>
      </c>
      <c r="L51">
        <v>113.2</v>
      </c>
      <c r="M51">
        <v>153.19999999999999</v>
      </c>
      <c r="N51">
        <v>136.69999999999999</v>
      </c>
      <c r="O51">
        <v>159.6</v>
      </c>
      <c r="P51">
        <v>148.9</v>
      </c>
      <c r="Q51">
        <v>171.2</v>
      </c>
      <c r="R51">
        <v>151.19999999999999</v>
      </c>
      <c r="S51">
        <v>141.9</v>
      </c>
      <c r="T51">
        <v>149.80000000000001</v>
      </c>
      <c r="U51">
        <v>154.5</v>
      </c>
      <c r="V51">
        <v>148.9</v>
      </c>
      <c r="W51">
        <v>146.4</v>
      </c>
      <c r="X51">
        <v>152.30000000000001</v>
      </c>
      <c r="Y51">
        <v>129.9</v>
      </c>
      <c r="Z51">
        <v>143.69999999999999</v>
      </c>
      <c r="AA51">
        <v>156.1</v>
      </c>
      <c r="AB51">
        <v>145.19999999999999</v>
      </c>
      <c r="AC51">
        <v>143.80000000000001</v>
      </c>
      <c r="AD51">
        <v>148.6</v>
      </c>
    </row>
    <row r="52" spans="1:30" hidden="1" x14ac:dyDescent="0.3">
      <c r="A52" t="s">
        <v>34</v>
      </c>
      <c r="B52">
        <v>2020</v>
      </c>
      <c r="C52" t="s">
        <v>37</v>
      </c>
      <c r="D52">
        <v>148.69999999999999</v>
      </c>
      <c r="E52">
        <v>167.2</v>
      </c>
      <c r="F52">
        <v>148.80000000000001</v>
      </c>
      <c r="G52">
        <v>155.6</v>
      </c>
      <c r="H52">
        <v>135.1</v>
      </c>
      <c r="I52">
        <v>149.9</v>
      </c>
      <c r="J52">
        <v>168.6</v>
      </c>
      <c r="K52">
        <v>150.4</v>
      </c>
      <c r="L52">
        <v>120.3</v>
      </c>
      <c r="M52">
        <v>157.1</v>
      </c>
      <c r="N52">
        <v>136.80000000000001</v>
      </c>
      <c r="O52" t="s">
        <v>32</v>
      </c>
      <c r="P52">
        <v>151.4</v>
      </c>
      <c r="Q52" t="s">
        <v>32</v>
      </c>
      <c r="R52" t="s">
        <v>32</v>
      </c>
      <c r="S52" t="s">
        <v>32</v>
      </c>
      <c r="T52" t="s">
        <v>32</v>
      </c>
      <c r="U52">
        <v>155.6</v>
      </c>
      <c r="V52">
        <v>144.1</v>
      </c>
      <c r="W52" t="s">
        <v>32</v>
      </c>
      <c r="X52">
        <v>150.69999999999999</v>
      </c>
      <c r="Y52" t="s">
        <v>32</v>
      </c>
      <c r="Z52" t="s">
        <v>32</v>
      </c>
      <c r="AA52" t="s">
        <v>32</v>
      </c>
      <c r="AB52" t="s">
        <v>32</v>
      </c>
      <c r="AC52" t="s">
        <v>32</v>
      </c>
      <c r="AD52">
        <v>149.30000000000001</v>
      </c>
    </row>
    <row r="53" spans="1:30" hidden="1" x14ac:dyDescent="0.3">
      <c r="A53" t="s">
        <v>34</v>
      </c>
      <c r="B53">
        <v>2020</v>
      </c>
      <c r="C53" t="s">
        <v>38</v>
      </c>
      <c r="D53">
        <f t="shared" ref="D53" si="0">AVERAGE(D52,D54)</f>
        <v>149.14999999999998</v>
      </c>
      <c r="E53">
        <f t="shared" ref="E53" si="1">AVERAGE(E52,E54)</f>
        <v>179.95</v>
      </c>
      <c r="F53">
        <f t="shared" ref="F53" si="2">AVERAGE(F52,F54)</f>
        <v>150.10000000000002</v>
      </c>
      <c r="G53">
        <f t="shared" ref="G53" si="3">AVERAGE(G52,G54)</f>
        <v>154.44999999999999</v>
      </c>
      <c r="H53">
        <f t="shared" ref="H53" si="4">AVERAGE(H52,H54)</f>
        <v>135.69999999999999</v>
      </c>
      <c r="I53">
        <f t="shared" ref="I53" si="5">AVERAGE(I52,I54)</f>
        <v>148.55000000000001</v>
      </c>
      <c r="J53">
        <f t="shared" ref="J53" si="6">AVERAGE(J52,J54)</f>
        <v>162.55000000000001</v>
      </c>
      <c r="K53">
        <f t="shared" ref="K53" si="7">AVERAGE(K52,K54)</f>
        <v>150.65</v>
      </c>
      <c r="L53">
        <f t="shared" ref="L53" si="8">AVERAGE(L52,L54)</f>
        <v>117.25</v>
      </c>
      <c r="M53">
        <f t="shared" ref="M53" si="9">AVERAGE(M52,M54)</f>
        <v>158.30000000000001</v>
      </c>
      <c r="N53">
        <f t="shared" ref="N53" si="10">AVERAGE(N52,N54)</f>
        <v>138.10000000000002</v>
      </c>
      <c r="O53">
        <f t="shared" ref="O53" si="11">AVERAGE(O52,O54)</f>
        <v>161.80000000000001</v>
      </c>
      <c r="P53">
        <f t="shared" ref="P53" si="12">AVERAGE(P52,P54)</f>
        <v>152.69999999999999</v>
      </c>
      <c r="Q53">
        <f t="shared" ref="Q53" si="13">AVERAGE(Q52,Q54)</f>
        <v>183.5</v>
      </c>
      <c r="R53">
        <f t="shared" ref="R53" si="14">AVERAGE(R52,R54)</f>
        <v>152.5</v>
      </c>
      <c r="S53">
        <f t="shared" ref="S53" si="15">AVERAGE(S52,S54)</f>
        <v>144.4</v>
      </c>
      <c r="T53">
        <f t="shared" ref="T53" si="16">AVERAGE(T52,T54)</f>
        <v>151.4</v>
      </c>
      <c r="U53">
        <f t="shared" ref="U53" si="17">AVERAGE(U52,U54)</f>
        <v>155.14999999999998</v>
      </c>
      <c r="V53">
        <f t="shared" ref="V53" si="18">AVERAGE(V52,V54)</f>
        <v>143</v>
      </c>
      <c r="W53">
        <f t="shared" ref="W53" si="19">AVERAGE(W52,W54)</f>
        <v>146.4</v>
      </c>
      <c r="X53">
        <f t="shared" ref="X53" si="20">AVERAGE(X52,X54)</f>
        <v>152.55000000000001</v>
      </c>
      <c r="Y53">
        <f t="shared" ref="Y53" si="21">AVERAGE(Y52,Y54)</f>
        <v>135</v>
      </c>
      <c r="Z53">
        <f t="shared" ref="Z53" si="22">AVERAGE(Z52,Z54)</f>
        <v>148.30000000000001</v>
      </c>
      <c r="AA53">
        <f t="shared" ref="AA53" si="23">AVERAGE(AA52,AA54)</f>
        <v>156.4</v>
      </c>
      <c r="AB53">
        <f t="shared" ref="AB53" si="24">AVERAGE(AB52,AB54)</f>
        <v>151.6</v>
      </c>
      <c r="AC53">
        <f t="shared" ref="AC53" si="25">AVERAGE(AC52,AC54)</f>
        <v>147</v>
      </c>
      <c r="AD53">
        <f>AVERAGE(AD52,AD54)</f>
        <v>150.55000000000001</v>
      </c>
    </row>
    <row r="54" spans="1:30" hidden="1" x14ac:dyDescent="0.3">
      <c r="A54" t="s">
        <v>34</v>
      </c>
      <c r="B54">
        <v>2020</v>
      </c>
      <c r="C54" t="s">
        <v>39</v>
      </c>
      <c r="D54">
        <v>149.6</v>
      </c>
      <c r="E54">
        <v>192.7</v>
      </c>
      <c r="F54">
        <v>151.4</v>
      </c>
      <c r="G54">
        <v>153.30000000000001</v>
      </c>
      <c r="H54">
        <v>136.30000000000001</v>
      </c>
      <c r="I54">
        <v>147.19999999999999</v>
      </c>
      <c r="J54">
        <v>156.5</v>
      </c>
      <c r="K54">
        <v>150.9</v>
      </c>
      <c r="L54">
        <v>114.2</v>
      </c>
      <c r="M54">
        <v>159.5</v>
      </c>
      <c r="N54">
        <v>139.4</v>
      </c>
      <c r="O54">
        <v>161.80000000000001</v>
      </c>
      <c r="P54">
        <v>154</v>
      </c>
      <c r="Q54">
        <v>183.5</v>
      </c>
      <c r="R54">
        <v>152.5</v>
      </c>
      <c r="S54">
        <v>144.4</v>
      </c>
      <c r="T54">
        <v>151.4</v>
      </c>
      <c r="U54">
        <v>154.69999999999999</v>
      </c>
      <c r="V54">
        <v>141.9</v>
      </c>
      <c r="W54">
        <v>146.4</v>
      </c>
      <c r="X54">
        <v>154.4</v>
      </c>
      <c r="Y54">
        <v>135</v>
      </c>
      <c r="Z54">
        <v>148.30000000000001</v>
      </c>
      <c r="AA54">
        <v>156.4</v>
      </c>
      <c r="AB54">
        <v>151.6</v>
      </c>
      <c r="AC54">
        <v>147</v>
      </c>
      <c r="AD54">
        <v>151.80000000000001</v>
      </c>
    </row>
    <row r="55" spans="1:30" hidden="1" x14ac:dyDescent="0.3">
      <c r="A55" t="s">
        <v>34</v>
      </c>
      <c r="B55">
        <v>2020</v>
      </c>
      <c r="C55" t="s">
        <v>40</v>
      </c>
      <c r="D55">
        <v>149.6</v>
      </c>
      <c r="E55">
        <v>192.7</v>
      </c>
      <c r="F55">
        <v>151.4</v>
      </c>
      <c r="G55">
        <v>153.30000000000001</v>
      </c>
      <c r="H55">
        <v>136.30000000000001</v>
      </c>
      <c r="I55">
        <v>147.19999999999999</v>
      </c>
      <c r="J55">
        <v>156.5</v>
      </c>
      <c r="K55">
        <v>150.9</v>
      </c>
      <c r="L55">
        <v>114.2</v>
      </c>
      <c r="M55">
        <v>159.5</v>
      </c>
      <c r="N55">
        <v>139.4</v>
      </c>
      <c r="O55">
        <v>161.80000000000001</v>
      </c>
      <c r="P55">
        <v>154</v>
      </c>
      <c r="Q55">
        <v>183.5</v>
      </c>
      <c r="R55">
        <v>152.5</v>
      </c>
      <c r="S55">
        <v>144.4</v>
      </c>
      <c r="T55">
        <v>151.4</v>
      </c>
      <c r="U55">
        <v>154.69999999999999</v>
      </c>
      <c r="V55">
        <v>141.9</v>
      </c>
      <c r="W55">
        <v>146.4</v>
      </c>
      <c r="X55">
        <v>154.4</v>
      </c>
      <c r="Y55">
        <v>135</v>
      </c>
      <c r="Z55">
        <v>148.30000000000001</v>
      </c>
      <c r="AA55">
        <v>156.4</v>
      </c>
      <c r="AB55">
        <v>151.6</v>
      </c>
      <c r="AC55">
        <v>147</v>
      </c>
      <c r="AD55">
        <v>151.80000000000001</v>
      </c>
    </row>
    <row r="56" spans="1:30" hidden="1" x14ac:dyDescent="0.3">
      <c r="A56" t="s">
        <v>34</v>
      </c>
      <c r="B56">
        <v>2020</v>
      </c>
      <c r="C56" t="s">
        <v>41</v>
      </c>
      <c r="D56">
        <v>148.9</v>
      </c>
      <c r="E56">
        <v>190.9</v>
      </c>
      <c r="F56">
        <v>150.80000000000001</v>
      </c>
      <c r="G56">
        <v>153.30000000000001</v>
      </c>
      <c r="H56">
        <v>137.4</v>
      </c>
      <c r="I56">
        <v>150.4</v>
      </c>
      <c r="J56">
        <v>178.1</v>
      </c>
      <c r="K56">
        <v>150.4</v>
      </c>
      <c r="L56">
        <v>115.1</v>
      </c>
      <c r="M56">
        <v>160</v>
      </c>
      <c r="N56">
        <v>140.6</v>
      </c>
      <c r="O56">
        <v>162.30000000000001</v>
      </c>
      <c r="P56">
        <v>157</v>
      </c>
      <c r="Q56">
        <v>182.6</v>
      </c>
      <c r="R56">
        <v>153.1</v>
      </c>
      <c r="S56">
        <v>143.4</v>
      </c>
      <c r="T56">
        <v>151.69999999999999</v>
      </c>
      <c r="U56">
        <v>155.5</v>
      </c>
      <c r="V56">
        <v>143</v>
      </c>
      <c r="W56">
        <v>148.4</v>
      </c>
      <c r="X56">
        <v>155</v>
      </c>
      <c r="Y56">
        <v>138.5</v>
      </c>
      <c r="Z56">
        <v>146</v>
      </c>
      <c r="AA56">
        <v>158.5</v>
      </c>
      <c r="AB56">
        <v>154.30000000000001</v>
      </c>
      <c r="AC56">
        <v>149</v>
      </c>
      <c r="AD56">
        <v>153.9</v>
      </c>
    </row>
    <row r="57" spans="1:30" hidden="1" x14ac:dyDescent="0.3">
      <c r="A57" t="s">
        <v>34</v>
      </c>
      <c r="B57">
        <v>2020</v>
      </c>
      <c r="C57" t="s">
        <v>42</v>
      </c>
      <c r="D57">
        <v>148.4</v>
      </c>
      <c r="E57">
        <v>187.1</v>
      </c>
      <c r="F57">
        <v>152.5</v>
      </c>
      <c r="G57">
        <v>153.6</v>
      </c>
      <c r="H57">
        <v>138.19999999999999</v>
      </c>
      <c r="I57">
        <v>150.9</v>
      </c>
      <c r="J57">
        <v>186.7</v>
      </c>
      <c r="K57">
        <v>149.80000000000001</v>
      </c>
      <c r="L57">
        <v>116.4</v>
      </c>
      <c r="M57">
        <v>160.30000000000001</v>
      </c>
      <c r="N57">
        <v>142.19999999999999</v>
      </c>
      <c r="O57">
        <v>162.9</v>
      </c>
      <c r="P57">
        <v>158</v>
      </c>
      <c r="Q57">
        <v>184.4</v>
      </c>
      <c r="R57">
        <v>153.4</v>
      </c>
      <c r="S57">
        <v>144.30000000000001</v>
      </c>
      <c r="T57">
        <v>152</v>
      </c>
      <c r="U57">
        <v>156.30000000000001</v>
      </c>
      <c r="V57">
        <v>142.9</v>
      </c>
      <c r="W57">
        <v>148.69999999999999</v>
      </c>
      <c r="X57">
        <v>155.6</v>
      </c>
      <c r="Y57">
        <v>139.6</v>
      </c>
      <c r="Z57">
        <v>146.6</v>
      </c>
      <c r="AA57">
        <v>157.5</v>
      </c>
      <c r="AB57">
        <v>158.4</v>
      </c>
      <c r="AC57">
        <v>150</v>
      </c>
      <c r="AD57">
        <v>154.69999999999999</v>
      </c>
    </row>
    <row r="58" spans="1:30" hidden="1" x14ac:dyDescent="0.3">
      <c r="A58" t="s">
        <v>34</v>
      </c>
      <c r="B58">
        <v>2020</v>
      </c>
      <c r="C58" t="s">
        <v>43</v>
      </c>
      <c r="D58">
        <v>147.5</v>
      </c>
      <c r="E58">
        <v>188.9</v>
      </c>
      <c r="F58">
        <v>161.4</v>
      </c>
      <c r="G58">
        <v>153.6</v>
      </c>
      <c r="H58">
        <v>140.1</v>
      </c>
      <c r="I58">
        <v>151.19999999999999</v>
      </c>
      <c r="J58">
        <v>209.2</v>
      </c>
      <c r="K58">
        <v>150.9</v>
      </c>
      <c r="L58">
        <v>116.2</v>
      </c>
      <c r="M58">
        <v>161</v>
      </c>
      <c r="N58">
        <v>144</v>
      </c>
      <c r="O58">
        <v>163.19999999999999</v>
      </c>
      <c r="P58">
        <v>161.4</v>
      </c>
      <c r="Q58">
        <v>184.3</v>
      </c>
      <c r="R58">
        <v>153.69999999999999</v>
      </c>
      <c r="S58">
        <v>144.6</v>
      </c>
      <c r="T58">
        <v>152.30000000000001</v>
      </c>
      <c r="U58">
        <v>156.5</v>
      </c>
      <c r="V58">
        <v>143.1</v>
      </c>
      <c r="W58">
        <v>148.69999999999999</v>
      </c>
      <c r="X58">
        <v>156.30000000000001</v>
      </c>
      <c r="Y58">
        <v>140.6</v>
      </c>
      <c r="Z58">
        <v>146.5</v>
      </c>
      <c r="AA58">
        <v>158.5</v>
      </c>
      <c r="AB58">
        <v>157</v>
      </c>
      <c r="AC58">
        <v>150.4</v>
      </c>
      <c r="AD58">
        <v>156.4</v>
      </c>
    </row>
    <row r="59" spans="1:30" hidden="1" x14ac:dyDescent="0.3">
      <c r="A59" t="s">
        <v>34</v>
      </c>
      <c r="B59">
        <v>2020</v>
      </c>
      <c r="C59" t="s">
        <v>45</v>
      </c>
      <c r="D59">
        <v>146.80000000000001</v>
      </c>
      <c r="E59">
        <v>191</v>
      </c>
      <c r="F59">
        <v>173.6</v>
      </c>
      <c r="G59">
        <v>153.80000000000001</v>
      </c>
      <c r="H59">
        <v>142.69999999999999</v>
      </c>
      <c r="I59">
        <v>148.4</v>
      </c>
      <c r="J59">
        <v>230</v>
      </c>
      <c r="K59">
        <v>156.80000000000001</v>
      </c>
      <c r="L59">
        <v>115.7</v>
      </c>
      <c r="M59">
        <v>161.80000000000001</v>
      </c>
      <c r="N59">
        <v>146.5</v>
      </c>
      <c r="O59">
        <v>163.80000000000001</v>
      </c>
      <c r="P59">
        <v>164.7</v>
      </c>
      <c r="Q59">
        <v>184.8</v>
      </c>
      <c r="R59">
        <v>154.30000000000001</v>
      </c>
      <c r="S59">
        <v>144.9</v>
      </c>
      <c r="T59">
        <v>152.80000000000001</v>
      </c>
      <c r="U59">
        <v>158</v>
      </c>
      <c r="V59">
        <v>143.6</v>
      </c>
      <c r="W59">
        <v>149.19999999999999</v>
      </c>
      <c r="X59">
        <v>157.19999999999999</v>
      </c>
      <c r="Y59">
        <v>140.4</v>
      </c>
      <c r="Z59">
        <v>148.4</v>
      </c>
      <c r="AA59">
        <v>158.6</v>
      </c>
      <c r="AB59">
        <v>156.9</v>
      </c>
      <c r="AC59">
        <v>150.69999999999999</v>
      </c>
      <c r="AD59">
        <v>158.4</v>
      </c>
    </row>
    <row r="60" spans="1:30" hidden="1" x14ac:dyDescent="0.3">
      <c r="A60" t="s">
        <v>34</v>
      </c>
      <c r="B60">
        <v>2020</v>
      </c>
      <c r="C60" t="s">
        <v>46</v>
      </c>
      <c r="D60">
        <v>146</v>
      </c>
      <c r="E60">
        <v>191</v>
      </c>
      <c r="F60">
        <v>175.3</v>
      </c>
      <c r="G60">
        <v>154.1</v>
      </c>
      <c r="H60">
        <v>146.6</v>
      </c>
      <c r="I60">
        <v>147.69999999999999</v>
      </c>
      <c r="J60">
        <v>230.5</v>
      </c>
      <c r="K60">
        <v>160.19999999999999</v>
      </c>
      <c r="L60">
        <v>115.3</v>
      </c>
      <c r="M60">
        <v>163</v>
      </c>
      <c r="N60">
        <v>149.19999999999999</v>
      </c>
      <c r="O60">
        <v>164.8</v>
      </c>
      <c r="P60">
        <v>165.4</v>
      </c>
      <c r="Q60">
        <v>185.4</v>
      </c>
      <c r="R60">
        <v>155</v>
      </c>
      <c r="S60">
        <v>145.4</v>
      </c>
      <c r="T60">
        <v>153.6</v>
      </c>
      <c r="U60">
        <v>158.4</v>
      </c>
      <c r="V60">
        <v>144.6</v>
      </c>
      <c r="W60">
        <v>149.69999999999999</v>
      </c>
      <c r="X60">
        <v>158.30000000000001</v>
      </c>
      <c r="Y60">
        <v>140.69999999999999</v>
      </c>
      <c r="Z60">
        <v>148.5</v>
      </c>
      <c r="AA60">
        <v>159.4</v>
      </c>
      <c r="AB60">
        <v>157.1</v>
      </c>
      <c r="AC60">
        <v>151.19999999999999</v>
      </c>
      <c r="AD60">
        <v>158.9</v>
      </c>
    </row>
    <row r="61" spans="1:30" x14ac:dyDescent="0.3">
      <c r="A61" t="s">
        <v>34</v>
      </c>
      <c r="B61">
        <v>2021</v>
      </c>
      <c r="C61" t="s">
        <v>31</v>
      </c>
      <c r="D61">
        <v>144.9</v>
      </c>
      <c r="E61">
        <v>190.1</v>
      </c>
      <c r="F61">
        <v>175.3</v>
      </c>
      <c r="G61">
        <v>154.1</v>
      </c>
      <c r="H61">
        <v>150.9</v>
      </c>
      <c r="I61">
        <v>149.6</v>
      </c>
      <c r="J61">
        <v>194.2</v>
      </c>
      <c r="K61">
        <v>160.4</v>
      </c>
      <c r="L61">
        <v>114.6</v>
      </c>
      <c r="M61">
        <v>164</v>
      </c>
      <c r="N61">
        <v>151.80000000000001</v>
      </c>
      <c r="O61">
        <v>165.6</v>
      </c>
      <c r="P61">
        <v>161</v>
      </c>
      <c r="Q61">
        <v>186.5</v>
      </c>
      <c r="R61">
        <v>155.5</v>
      </c>
      <c r="S61">
        <v>146.1</v>
      </c>
      <c r="T61">
        <v>154.19999999999999</v>
      </c>
      <c r="U61">
        <v>157.69999999999999</v>
      </c>
      <c r="V61">
        <v>147.9</v>
      </c>
      <c r="W61">
        <v>150</v>
      </c>
      <c r="X61">
        <v>159.30000000000001</v>
      </c>
      <c r="Y61">
        <v>141.9</v>
      </c>
      <c r="Z61">
        <v>149.6</v>
      </c>
      <c r="AA61">
        <v>159.19999999999999</v>
      </c>
      <c r="AB61">
        <v>156.80000000000001</v>
      </c>
      <c r="AC61">
        <v>151.9</v>
      </c>
      <c r="AD61">
        <v>157.30000000000001</v>
      </c>
    </row>
    <row r="62" spans="1:30" x14ac:dyDescent="0.3">
      <c r="A62" t="s">
        <v>34</v>
      </c>
      <c r="B62">
        <v>2021</v>
      </c>
      <c r="C62" t="s">
        <v>35</v>
      </c>
      <c r="D62">
        <v>144.30000000000001</v>
      </c>
      <c r="E62">
        <v>186.5</v>
      </c>
      <c r="F62">
        <v>168.7</v>
      </c>
      <c r="G62">
        <v>154.69999999999999</v>
      </c>
      <c r="H62">
        <v>158.69999999999999</v>
      </c>
      <c r="I62">
        <v>150.69999999999999</v>
      </c>
      <c r="J62">
        <v>160</v>
      </c>
      <c r="K62">
        <v>158.80000000000001</v>
      </c>
      <c r="L62">
        <v>112.8</v>
      </c>
      <c r="M62">
        <v>164.2</v>
      </c>
      <c r="N62">
        <v>155.5</v>
      </c>
      <c r="O62">
        <v>167.5</v>
      </c>
      <c r="P62">
        <v>156.9</v>
      </c>
      <c r="Q62">
        <v>188.3</v>
      </c>
      <c r="R62">
        <v>157.19999999999999</v>
      </c>
      <c r="S62">
        <v>147.4</v>
      </c>
      <c r="T62">
        <v>155.80000000000001</v>
      </c>
      <c r="U62">
        <v>159.80000000000001</v>
      </c>
      <c r="V62">
        <v>152.4</v>
      </c>
      <c r="W62">
        <v>150.9</v>
      </c>
      <c r="X62">
        <v>161.30000000000001</v>
      </c>
      <c r="Y62">
        <v>145.1</v>
      </c>
      <c r="Z62">
        <v>151.5</v>
      </c>
      <c r="AA62">
        <v>159.5</v>
      </c>
      <c r="AB62">
        <v>155.80000000000001</v>
      </c>
      <c r="AC62">
        <v>153.4</v>
      </c>
      <c r="AD62">
        <v>156.6</v>
      </c>
    </row>
    <row r="63" spans="1:30" x14ac:dyDescent="0.3">
      <c r="A63" t="s">
        <v>34</v>
      </c>
      <c r="B63">
        <v>2021</v>
      </c>
      <c r="C63" t="s">
        <v>36</v>
      </c>
      <c r="D63">
        <v>144.1</v>
      </c>
      <c r="E63">
        <v>192.2</v>
      </c>
      <c r="F63">
        <v>163.80000000000001</v>
      </c>
      <c r="G63">
        <v>154.9</v>
      </c>
      <c r="H63">
        <v>163.9</v>
      </c>
      <c r="I63">
        <v>153.69999999999999</v>
      </c>
      <c r="J63">
        <v>149.5</v>
      </c>
      <c r="K63">
        <v>159.80000000000001</v>
      </c>
      <c r="L63">
        <v>112.6</v>
      </c>
      <c r="M63">
        <v>163.5</v>
      </c>
      <c r="N63">
        <v>156.5</v>
      </c>
      <c r="O63">
        <v>168.2</v>
      </c>
      <c r="P63">
        <v>156.69999999999999</v>
      </c>
      <c r="Q63">
        <v>188.1</v>
      </c>
      <c r="R63">
        <v>157.80000000000001</v>
      </c>
      <c r="S63">
        <v>147.9</v>
      </c>
      <c r="T63">
        <v>156.4</v>
      </c>
      <c r="U63">
        <v>159.9</v>
      </c>
      <c r="V63">
        <v>155.5</v>
      </c>
      <c r="W63">
        <v>151.19999999999999</v>
      </c>
      <c r="X63">
        <v>161.69999999999999</v>
      </c>
      <c r="Y63">
        <v>146.19999999999999</v>
      </c>
      <c r="Z63">
        <v>152.6</v>
      </c>
      <c r="AA63">
        <v>160.19999999999999</v>
      </c>
      <c r="AB63">
        <v>153.80000000000001</v>
      </c>
      <c r="AC63">
        <v>153.80000000000001</v>
      </c>
      <c r="AD63">
        <v>156.80000000000001</v>
      </c>
    </row>
    <row r="64" spans="1:30" x14ac:dyDescent="0.3">
      <c r="A64" t="s">
        <v>34</v>
      </c>
      <c r="B64">
        <v>2021</v>
      </c>
      <c r="C64" t="s">
        <v>37</v>
      </c>
      <c r="D64">
        <v>144.30000000000001</v>
      </c>
      <c r="E64">
        <v>198</v>
      </c>
      <c r="F64">
        <v>164.6</v>
      </c>
      <c r="G64">
        <v>155.4</v>
      </c>
      <c r="H64">
        <v>170.1</v>
      </c>
      <c r="I64">
        <v>164.4</v>
      </c>
      <c r="J64">
        <v>144.1</v>
      </c>
      <c r="K64">
        <v>161.69999999999999</v>
      </c>
      <c r="L64">
        <v>113.1</v>
      </c>
      <c r="M64">
        <v>163.9</v>
      </c>
      <c r="N64">
        <v>157.6</v>
      </c>
      <c r="O64">
        <v>168.9</v>
      </c>
      <c r="P64">
        <v>158</v>
      </c>
      <c r="Q64">
        <v>188.8</v>
      </c>
      <c r="R64">
        <v>158.80000000000001</v>
      </c>
      <c r="S64">
        <v>148.5</v>
      </c>
      <c r="T64">
        <v>157.30000000000001</v>
      </c>
      <c r="U64">
        <v>161.4</v>
      </c>
      <c r="V64">
        <v>155.6</v>
      </c>
      <c r="W64">
        <v>151.80000000000001</v>
      </c>
      <c r="X64">
        <v>162.30000000000001</v>
      </c>
      <c r="Y64">
        <v>146.6</v>
      </c>
      <c r="Z64">
        <v>153.19999999999999</v>
      </c>
      <c r="AA64">
        <v>160.30000000000001</v>
      </c>
      <c r="AB64">
        <v>155.4</v>
      </c>
      <c r="AC64">
        <v>154.4</v>
      </c>
      <c r="AD64">
        <v>157.80000000000001</v>
      </c>
    </row>
    <row r="65" spans="1:30" x14ac:dyDescent="0.3">
      <c r="A65" t="s">
        <v>34</v>
      </c>
      <c r="B65">
        <v>2021</v>
      </c>
      <c r="C65" t="s">
        <v>38</v>
      </c>
      <c r="D65">
        <v>146.30000000000001</v>
      </c>
      <c r="E65">
        <v>200.5</v>
      </c>
      <c r="F65">
        <v>170.3</v>
      </c>
      <c r="G65">
        <v>156.1</v>
      </c>
      <c r="H65">
        <v>178.7</v>
      </c>
      <c r="I65">
        <v>167.1</v>
      </c>
      <c r="J65">
        <v>147.9</v>
      </c>
      <c r="K65">
        <v>165.4</v>
      </c>
      <c r="L65">
        <v>114.8</v>
      </c>
      <c r="M65">
        <v>168.2</v>
      </c>
      <c r="N65">
        <v>159.30000000000001</v>
      </c>
      <c r="O65">
        <v>170.4</v>
      </c>
      <c r="P65">
        <v>160.69999999999999</v>
      </c>
      <c r="Q65">
        <v>191.9</v>
      </c>
      <c r="R65">
        <v>161.80000000000001</v>
      </c>
      <c r="S65">
        <v>152.1</v>
      </c>
      <c r="T65">
        <v>160.4</v>
      </c>
      <c r="U65">
        <v>161.6</v>
      </c>
      <c r="V65">
        <v>159.4</v>
      </c>
      <c r="W65">
        <v>154.69999999999999</v>
      </c>
      <c r="X65">
        <v>165.8</v>
      </c>
      <c r="Y65">
        <v>148.9</v>
      </c>
      <c r="Z65">
        <v>155.80000000000001</v>
      </c>
      <c r="AA65">
        <v>161.19999999999999</v>
      </c>
      <c r="AB65">
        <v>158.6</v>
      </c>
      <c r="AC65">
        <v>156.80000000000001</v>
      </c>
      <c r="AD65">
        <v>160.4</v>
      </c>
    </row>
    <row r="66" spans="1:30" x14ac:dyDescent="0.3">
      <c r="A66" t="s">
        <v>34</v>
      </c>
      <c r="B66">
        <v>2021</v>
      </c>
      <c r="C66" t="s">
        <v>39</v>
      </c>
      <c r="D66">
        <v>146.69999999999999</v>
      </c>
      <c r="E66">
        <v>202</v>
      </c>
      <c r="F66">
        <v>180.7</v>
      </c>
      <c r="G66">
        <v>156.19999999999999</v>
      </c>
      <c r="H66">
        <v>183.7</v>
      </c>
      <c r="I66">
        <v>164.6</v>
      </c>
      <c r="J66">
        <v>155.4</v>
      </c>
      <c r="K66">
        <v>166</v>
      </c>
      <c r="L66">
        <v>115.1</v>
      </c>
      <c r="M66">
        <v>168.5</v>
      </c>
      <c r="N66">
        <v>160</v>
      </c>
      <c r="O66">
        <v>172.4</v>
      </c>
      <c r="P66">
        <v>162.6</v>
      </c>
      <c r="Q66">
        <v>190.8</v>
      </c>
      <c r="R66">
        <v>162.19999999999999</v>
      </c>
      <c r="S66">
        <v>151.80000000000001</v>
      </c>
      <c r="T66">
        <v>160.69999999999999</v>
      </c>
      <c r="U66">
        <v>160.5</v>
      </c>
      <c r="V66">
        <v>159.80000000000001</v>
      </c>
      <c r="W66">
        <v>154.80000000000001</v>
      </c>
      <c r="X66">
        <v>166.3</v>
      </c>
      <c r="Y66">
        <v>150.69999999999999</v>
      </c>
      <c r="Z66">
        <v>154.9</v>
      </c>
      <c r="AA66">
        <v>161.69999999999999</v>
      </c>
      <c r="AB66">
        <v>158.80000000000001</v>
      </c>
      <c r="AC66">
        <v>157.6</v>
      </c>
      <c r="AD66">
        <v>161.30000000000001</v>
      </c>
    </row>
    <row r="67" spans="1:30" x14ac:dyDescent="0.3">
      <c r="A67" t="s">
        <v>34</v>
      </c>
      <c r="B67">
        <v>2021</v>
      </c>
      <c r="C67" t="s">
        <v>40</v>
      </c>
      <c r="D67">
        <v>146.4</v>
      </c>
      <c r="E67">
        <v>206.8</v>
      </c>
      <c r="F67">
        <v>182.2</v>
      </c>
      <c r="G67">
        <v>157.5</v>
      </c>
      <c r="H67">
        <v>182.1</v>
      </c>
      <c r="I67">
        <v>163.9</v>
      </c>
      <c r="J67">
        <v>164.2</v>
      </c>
      <c r="K67">
        <v>164</v>
      </c>
      <c r="L67">
        <v>114.5</v>
      </c>
      <c r="M67">
        <v>168.3</v>
      </c>
      <c r="N67">
        <v>160.9</v>
      </c>
      <c r="O67">
        <v>172.2</v>
      </c>
      <c r="P67">
        <v>164</v>
      </c>
      <c r="Q67">
        <v>191.2</v>
      </c>
      <c r="R67">
        <v>162.80000000000001</v>
      </c>
      <c r="S67">
        <v>153.1</v>
      </c>
      <c r="T67">
        <v>161.4</v>
      </c>
      <c r="U67">
        <v>161.5</v>
      </c>
      <c r="V67">
        <v>160.69999999999999</v>
      </c>
      <c r="W67">
        <v>155.80000000000001</v>
      </c>
      <c r="X67">
        <v>167</v>
      </c>
      <c r="Y67">
        <v>153.1</v>
      </c>
      <c r="Z67">
        <v>155.30000000000001</v>
      </c>
      <c r="AA67">
        <v>163.19999999999999</v>
      </c>
      <c r="AB67">
        <v>160.1</v>
      </c>
      <c r="AC67">
        <v>159</v>
      </c>
      <c r="AD67">
        <v>162.5</v>
      </c>
    </row>
    <row r="68" spans="1:30" x14ac:dyDescent="0.3">
      <c r="A68" t="s">
        <v>34</v>
      </c>
      <c r="B68">
        <v>2021</v>
      </c>
      <c r="C68" t="s">
        <v>41</v>
      </c>
      <c r="D68">
        <v>146.6</v>
      </c>
      <c r="E68">
        <v>204</v>
      </c>
      <c r="F68">
        <v>172.8</v>
      </c>
      <c r="G68">
        <v>158.4</v>
      </c>
      <c r="H68">
        <v>188</v>
      </c>
      <c r="I68">
        <v>156.80000000000001</v>
      </c>
      <c r="J68">
        <v>162.19999999999999</v>
      </c>
      <c r="K68">
        <v>164.1</v>
      </c>
      <c r="L68">
        <v>119.7</v>
      </c>
      <c r="M68">
        <v>168.8</v>
      </c>
      <c r="N68">
        <v>162.69999999999999</v>
      </c>
      <c r="O68">
        <v>173.9</v>
      </c>
      <c r="P68">
        <v>164</v>
      </c>
      <c r="Q68">
        <v>192.1</v>
      </c>
      <c r="R68">
        <v>164.5</v>
      </c>
      <c r="S68">
        <v>155.30000000000001</v>
      </c>
      <c r="T68">
        <v>163.19999999999999</v>
      </c>
      <c r="U68">
        <v>162.1</v>
      </c>
      <c r="V68">
        <v>162.6</v>
      </c>
      <c r="W68">
        <v>157.5</v>
      </c>
      <c r="X68">
        <v>168.4</v>
      </c>
      <c r="Y68">
        <v>154</v>
      </c>
      <c r="Z68">
        <v>157.6</v>
      </c>
      <c r="AA68">
        <v>163.80000000000001</v>
      </c>
      <c r="AB68">
        <v>160</v>
      </c>
      <c r="AC68">
        <v>160</v>
      </c>
      <c r="AD68">
        <v>163.19999999999999</v>
      </c>
    </row>
    <row r="69" spans="1:30" x14ac:dyDescent="0.3">
      <c r="A69" t="s">
        <v>34</v>
      </c>
      <c r="B69">
        <v>2021</v>
      </c>
      <c r="C69" t="s">
        <v>42</v>
      </c>
      <c r="D69">
        <v>146.6</v>
      </c>
      <c r="E69">
        <v>204</v>
      </c>
      <c r="F69">
        <v>172.8</v>
      </c>
      <c r="G69">
        <v>158.4</v>
      </c>
      <c r="H69">
        <v>188</v>
      </c>
      <c r="I69">
        <v>156.69999999999999</v>
      </c>
      <c r="J69">
        <v>162.30000000000001</v>
      </c>
      <c r="K69">
        <v>164.1</v>
      </c>
      <c r="L69">
        <v>119.7</v>
      </c>
      <c r="M69">
        <v>168.8</v>
      </c>
      <c r="N69">
        <v>162.69999999999999</v>
      </c>
      <c r="O69">
        <v>173.9</v>
      </c>
      <c r="P69">
        <v>164</v>
      </c>
      <c r="Q69">
        <v>192.1</v>
      </c>
      <c r="R69">
        <v>164.6</v>
      </c>
      <c r="S69">
        <v>155.30000000000001</v>
      </c>
      <c r="T69">
        <v>163.30000000000001</v>
      </c>
      <c r="U69">
        <v>162.1</v>
      </c>
      <c r="V69">
        <v>162.6</v>
      </c>
      <c r="W69">
        <v>157.5</v>
      </c>
      <c r="X69">
        <v>168.4</v>
      </c>
      <c r="Y69">
        <v>154</v>
      </c>
      <c r="Z69">
        <v>157.69999999999999</v>
      </c>
      <c r="AA69">
        <v>163.69999999999999</v>
      </c>
      <c r="AB69">
        <v>160</v>
      </c>
      <c r="AC69">
        <v>160</v>
      </c>
      <c r="AD69">
        <v>163.19999999999999</v>
      </c>
    </row>
    <row r="70" spans="1:30" x14ac:dyDescent="0.3">
      <c r="A70" t="s">
        <v>34</v>
      </c>
      <c r="B70">
        <v>2021</v>
      </c>
      <c r="C70" t="s">
        <v>43</v>
      </c>
      <c r="D70">
        <v>147.4</v>
      </c>
      <c r="E70">
        <v>204.6</v>
      </c>
      <c r="F70">
        <v>171.2</v>
      </c>
      <c r="G70">
        <v>158.69999999999999</v>
      </c>
      <c r="H70">
        <v>190.6</v>
      </c>
      <c r="I70">
        <v>155.69999999999999</v>
      </c>
      <c r="J70">
        <v>185.3</v>
      </c>
      <c r="K70">
        <v>165.2</v>
      </c>
      <c r="L70">
        <v>121.9</v>
      </c>
      <c r="M70">
        <v>169.3</v>
      </c>
      <c r="N70">
        <v>163.19999999999999</v>
      </c>
      <c r="O70">
        <v>174.7</v>
      </c>
      <c r="P70">
        <v>167.7</v>
      </c>
      <c r="Q70">
        <v>192.7</v>
      </c>
      <c r="R70">
        <v>165.7</v>
      </c>
      <c r="S70">
        <v>156.30000000000001</v>
      </c>
      <c r="T70">
        <v>164.3</v>
      </c>
      <c r="U70">
        <v>163.6</v>
      </c>
      <c r="V70">
        <v>164.2</v>
      </c>
      <c r="W70">
        <v>158.4</v>
      </c>
      <c r="X70">
        <v>169.1</v>
      </c>
      <c r="Y70">
        <v>155.69999999999999</v>
      </c>
      <c r="Z70">
        <v>158.6</v>
      </c>
      <c r="AA70">
        <v>163.9</v>
      </c>
      <c r="AB70">
        <v>160.80000000000001</v>
      </c>
      <c r="AC70">
        <v>161</v>
      </c>
      <c r="AD70">
        <v>165.5</v>
      </c>
    </row>
    <row r="71" spans="1:30" x14ac:dyDescent="0.3">
      <c r="A71" t="s">
        <v>34</v>
      </c>
      <c r="B71">
        <v>2021</v>
      </c>
      <c r="C71" t="s">
        <v>45</v>
      </c>
      <c r="D71">
        <v>148.19999999999999</v>
      </c>
      <c r="E71">
        <v>201.6</v>
      </c>
      <c r="F71">
        <v>173</v>
      </c>
      <c r="G71">
        <v>159.30000000000001</v>
      </c>
      <c r="H71">
        <v>190.1</v>
      </c>
      <c r="I71">
        <v>156.5</v>
      </c>
      <c r="J71">
        <v>199.2</v>
      </c>
      <c r="K71">
        <v>165.3</v>
      </c>
      <c r="L71">
        <v>122.4</v>
      </c>
      <c r="M71">
        <v>169.6</v>
      </c>
      <c r="N71">
        <v>163.69999999999999</v>
      </c>
      <c r="O71">
        <v>175.5</v>
      </c>
      <c r="P71">
        <v>169.7</v>
      </c>
      <c r="Q71">
        <v>192.9</v>
      </c>
      <c r="R71">
        <v>167.2</v>
      </c>
      <c r="S71">
        <v>157.4</v>
      </c>
      <c r="T71">
        <v>165.8</v>
      </c>
      <c r="U71">
        <v>164.2</v>
      </c>
      <c r="V71">
        <v>163.9</v>
      </c>
      <c r="W71">
        <v>159.30000000000001</v>
      </c>
      <c r="X71">
        <v>169.9</v>
      </c>
      <c r="Y71">
        <v>154.80000000000001</v>
      </c>
      <c r="Z71">
        <v>159.80000000000001</v>
      </c>
      <c r="AA71">
        <v>164.3</v>
      </c>
      <c r="AB71">
        <v>162.19999999999999</v>
      </c>
      <c r="AC71">
        <v>161.4</v>
      </c>
      <c r="AD71">
        <v>166.7</v>
      </c>
    </row>
    <row r="72" spans="1:30" x14ac:dyDescent="0.3">
      <c r="A72" t="s">
        <v>34</v>
      </c>
      <c r="B72">
        <v>2021</v>
      </c>
      <c r="C72" t="s">
        <v>46</v>
      </c>
      <c r="D72">
        <v>148.69999999999999</v>
      </c>
      <c r="E72">
        <v>198.8</v>
      </c>
      <c r="F72">
        <v>177.9</v>
      </c>
      <c r="G72">
        <v>159.9</v>
      </c>
      <c r="H72">
        <v>187.6</v>
      </c>
      <c r="I72">
        <v>154.9</v>
      </c>
      <c r="J72">
        <v>188.3</v>
      </c>
      <c r="K72">
        <v>164.4</v>
      </c>
      <c r="L72">
        <v>121</v>
      </c>
      <c r="M72">
        <v>170.5</v>
      </c>
      <c r="N72">
        <v>164.2</v>
      </c>
      <c r="O72">
        <v>176.5</v>
      </c>
      <c r="P72">
        <v>168.2</v>
      </c>
      <c r="Q72">
        <v>192.4</v>
      </c>
      <c r="R72">
        <v>168.5</v>
      </c>
      <c r="S72">
        <v>158.69999999999999</v>
      </c>
      <c r="T72">
        <v>167</v>
      </c>
      <c r="U72">
        <v>163.4</v>
      </c>
      <c r="V72">
        <v>164.1</v>
      </c>
      <c r="W72">
        <v>160.19999999999999</v>
      </c>
      <c r="X72">
        <v>170.6</v>
      </c>
      <c r="Y72">
        <v>155.69999999999999</v>
      </c>
      <c r="Z72">
        <v>160.6</v>
      </c>
      <c r="AA72">
        <v>164.4</v>
      </c>
      <c r="AB72">
        <v>162.6</v>
      </c>
      <c r="AC72">
        <v>162</v>
      </c>
      <c r="AD72">
        <v>166.2</v>
      </c>
    </row>
    <row r="73" spans="1:30" x14ac:dyDescent="0.3">
      <c r="A73" t="s">
        <v>34</v>
      </c>
      <c r="B73">
        <v>2022</v>
      </c>
      <c r="C73" t="s">
        <v>31</v>
      </c>
      <c r="D73">
        <v>149.5</v>
      </c>
      <c r="E73">
        <v>198.7</v>
      </c>
      <c r="F73">
        <v>178.8</v>
      </c>
      <c r="G73">
        <v>160.5</v>
      </c>
      <c r="H73">
        <v>184.7</v>
      </c>
      <c r="I73">
        <v>153.69999999999999</v>
      </c>
      <c r="J73">
        <v>174.3</v>
      </c>
      <c r="K73">
        <v>163.9</v>
      </c>
      <c r="L73">
        <v>120</v>
      </c>
      <c r="M73">
        <v>172.1</v>
      </c>
      <c r="N73">
        <v>164.3</v>
      </c>
      <c r="O73">
        <v>177.3</v>
      </c>
      <c r="P73">
        <v>166.4</v>
      </c>
      <c r="Q73">
        <v>192.2</v>
      </c>
      <c r="R73">
        <v>169.9</v>
      </c>
      <c r="S73">
        <v>160.69999999999999</v>
      </c>
      <c r="T73">
        <v>168.5</v>
      </c>
      <c r="U73">
        <v>164.5</v>
      </c>
      <c r="V73">
        <v>164.2</v>
      </c>
      <c r="W73">
        <v>161.1</v>
      </c>
      <c r="X73">
        <v>171.4</v>
      </c>
      <c r="Y73">
        <v>156.5</v>
      </c>
      <c r="Z73">
        <v>161.19999999999999</v>
      </c>
      <c r="AA73">
        <v>164.7</v>
      </c>
      <c r="AB73">
        <v>163</v>
      </c>
      <c r="AC73">
        <v>162.69999999999999</v>
      </c>
      <c r="AD73">
        <v>165.7</v>
      </c>
    </row>
    <row r="74" spans="1:30" x14ac:dyDescent="0.3">
      <c r="A74" t="s">
        <v>34</v>
      </c>
      <c r="B74">
        <v>2022</v>
      </c>
      <c r="C74" t="s">
        <v>35</v>
      </c>
      <c r="D74">
        <v>150</v>
      </c>
      <c r="E74">
        <v>200.6</v>
      </c>
      <c r="F74">
        <v>175.8</v>
      </c>
      <c r="G74">
        <v>160.69999999999999</v>
      </c>
      <c r="H74">
        <v>184.9</v>
      </c>
      <c r="I74">
        <v>153.69999999999999</v>
      </c>
      <c r="J74">
        <v>169.7</v>
      </c>
      <c r="K74">
        <v>163.69999999999999</v>
      </c>
      <c r="L74">
        <v>118.9</v>
      </c>
      <c r="M74">
        <v>174.3</v>
      </c>
      <c r="N74">
        <v>164.7</v>
      </c>
      <c r="O74">
        <v>178</v>
      </c>
      <c r="P74">
        <v>166.2</v>
      </c>
      <c r="Q74">
        <v>192.8</v>
      </c>
      <c r="R74">
        <v>170.8</v>
      </c>
      <c r="S74">
        <v>162.4</v>
      </c>
      <c r="T74">
        <v>169.6</v>
      </c>
      <c r="U74">
        <v>165.5</v>
      </c>
      <c r="V74">
        <v>165.7</v>
      </c>
      <c r="W74">
        <v>161.80000000000001</v>
      </c>
      <c r="X74">
        <v>172.2</v>
      </c>
      <c r="Y74">
        <v>156.9</v>
      </c>
      <c r="Z74">
        <v>162.1</v>
      </c>
      <c r="AA74">
        <v>165.4</v>
      </c>
      <c r="AB74">
        <v>164.4</v>
      </c>
      <c r="AC74">
        <v>163.5</v>
      </c>
      <c r="AD74">
        <v>166.1</v>
      </c>
    </row>
    <row r="75" spans="1:30" x14ac:dyDescent="0.3">
      <c r="A75" t="s">
        <v>34</v>
      </c>
      <c r="B75">
        <v>2022</v>
      </c>
      <c r="C75" t="s">
        <v>36</v>
      </c>
      <c r="D75">
        <v>151.30000000000001</v>
      </c>
      <c r="E75">
        <v>210.7</v>
      </c>
      <c r="F75">
        <v>167.8</v>
      </c>
      <c r="G75">
        <v>162.19999999999999</v>
      </c>
      <c r="H75">
        <v>194.6</v>
      </c>
      <c r="I75">
        <v>157.6</v>
      </c>
      <c r="J75">
        <v>166.9</v>
      </c>
      <c r="K75">
        <v>163.9</v>
      </c>
      <c r="L75">
        <v>118.8</v>
      </c>
      <c r="M75">
        <v>177.4</v>
      </c>
      <c r="N75">
        <v>165.3</v>
      </c>
      <c r="O75">
        <v>179.3</v>
      </c>
      <c r="P75">
        <v>168.4</v>
      </c>
      <c r="Q75">
        <v>193.7</v>
      </c>
      <c r="R75">
        <v>172.1</v>
      </c>
      <c r="S75">
        <v>164.6</v>
      </c>
      <c r="T75">
        <v>171.1</v>
      </c>
      <c r="U75">
        <v>165.3</v>
      </c>
      <c r="V75">
        <v>167.2</v>
      </c>
      <c r="W75">
        <v>162.80000000000001</v>
      </c>
      <c r="X75">
        <v>173</v>
      </c>
      <c r="Y75">
        <v>157.9</v>
      </c>
      <c r="Z75">
        <v>163.30000000000001</v>
      </c>
      <c r="AA75">
        <v>166</v>
      </c>
      <c r="AB75">
        <v>167.2</v>
      </c>
      <c r="AC75">
        <v>164.6</v>
      </c>
      <c r="AD75">
        <v>167.7</v>
      </c>
    </row>
    <row r="76" spans="1:30" x14ac:dyDescent="0.3">
      <c r="A76" t="s">
        <v>34</v>
      </c>
      <c r="B76">
        <v>2022</v>
      </c>
      <c r="C76" t="s">
        <v>37</v>
      </c>
      <c r="D76">
        <v>152.9</v>
      </c>
      <c r="E76">
        <v>211.8</v>
      </c>
      <c r="F76">
        <v>164.5</v>
      </c>
      <c r="G76">
        <v>163.9</v>
      </c>
      <c r="H76">
        <v>199.5</v>
      </c>
      <c r="I76">
        <v>172.6</v>
      </c>
      <c r="J76">
        <v>166.2</v>
      </c>
      <c r="K76">
        <v>164.7</v>
      </c>
      <c r="L76">
        <v>119</v>
      </c>
      <c r="M76">
        <v>181.3</v>
      </c>
      <c r="N76">
        <v>166.2</v>
      </c>
      <c r="O76">
        <v>180.9</v>
      </c>
      <c r="P76">
        <v>170.8</v>
      </c>
      <c r="Q76">
        <v>193.9</v>
      </c>
      <c r="R76">
        <v>173.9</v>
      </c>
      <c r="S76">
        <v>166.5</v>
      </c>
      <c r="T76">
        <v>172.8</v>
      </c>
      <c r="U76">
        <v>167</v>
      </c>
      <c r="V76">
        <v>172.2</v>
      </c>
      <c r="W76">
        <v>164</v>
      </c>
      <c r="X76">
        <v>174</v>
      </c>
      <c r="Y76">
        <v>162.6</v>
      </c>
      <c r="Z76">
        <v>164.4</v>
      </c>
      <c r="AA76">
        <v>166.9</v>
      </c>
      <c r="AB76">
        <v>168.8</v>
      </c>
      <c r="AC76">
        <v>166.8</v>
      </c>
      <c r="AD76">
        <v>170.1</v>
      </c>
    </row>
    <row r="77" spans="1:30" x14ac:dyDescent="0.3">
      <c r="A77" t="s">
        <v>34</v>
      </c>
      <c r="B77">
        <v>2022</v>
      </c>
      <c r="C77" t="s">
        <v>38</v>
      </c>
      <c r="D77">
        <v>154.1</v>
      </c>
      <c r="E77">
        <v>217</v>
      </c>
      <c r="F77">
        <v>162.4</v>
      </c>
      <c r="G77">
        <v>164.9</v>
      </c>
      <c r="H77">
        <v>202.4</v>
      </c>
      <c r="I77">
        <v>171</v>
      </c>
      <c r="J77">
        <v>174.9</v>
      </c>
      <c r="K77">
        <v>164.7</v>
      </c>
      <c r="L77">
        <v>119.7</v>
      </c>
      <c r="M77">
        <v>184.9</v>
      </c>
      <c r="N77">
        <v>167.1</v>
      </c>
      <c r="O77">
        <v>182.5</v>
      </c>
      <c r="P77">
        <v>173.3</v>
      </c>
      <c r="Q77">
        <v>194.1</v>
      </c>
      <c r="R77">
        <v>175.6</v>
      </c>
      <c r="S77">
        <v>168.4</v>
      </c>
      <c r="T77">
        <v>174.6</v>
      </c>
      <c r="U77">
        <v>167.5</v>
      </c>
      <c r="V77">
        <v>174.6</v>
      </c>
      <c r="W77">
        <v>165.2</v>
      </c>
      <c r="X77">
        <v>174.8</v>
      </c>
      <c r="Y77">
        <v>163</v>
      </c>
      <c r="Z77">
        <v>165.1</v>
      </c>
      <c r="AA77">
        <v>167.9</v>
      </c>
      <c r="AB77">
        <v>168.4</v>
      </c>
      <c r="AC77">
        <v>167.5</v>
      </c>
      <c r="AD77">
        <v>171.7</v>
      </c>
    </row>
    <row r="78" spans="1:30" x14ac:dyDescent="0.3">
      <c r="A78" t="s">
        <v>34</v>
      </c>
      <c r="B78">
        <v>2022</v>
      </c>
      <c r="C78" t="s">
        <v>39</v>
      </c>
      <c r="D78">
        <v>155</v>
      </c>
      <c r="E78">
        <v>219.4</v>
      </c>
      <c r="F78">
        <v>170.8</v>
      </c>
      <c r="G78">
        <v>165.8</v>
      </c>
      <c r="H78">
        <v>200.9</v>
      </c>
      <c r="I78">
        <v>169.7</v>
      </c>
      <c r="J78">
        <v>182.3</v>
      </c>
      <c r="K78">
        <v>164.3</v>
      </c>
      <c r="L78">
        <v>119.9</v>
      </c>
      <c r="M78">
        <v>187.1</v>
      </c>
      <c r="N78">
        <v>167.9</v>
      </c>
      <c r="O78">
        <v>183.9</v>
      </c>
      <c r="P78">
        <v>174.9</v>
      </c>
      <c r="Q78">
        <v>194.3</v>
      </c>
      <c r="R78">
        <v>177.1</v>
      </c>
      <c r="S78">
        <v>169.9</v>
      </c>
      <c r="T78">
        <v>176</v>
      </c>
      <c r="U78">
        <v>166.8</v>
      </c>
      <c r="V78">
        <v>176</v>
      </c>
      <c r="W78">
        <v>166.4</v>
      </c>
      <c r="X78">
        <v>175.4</v>
      </c>
      <c r="Y78">
        <v>161.1</v>
      </c>
      <c r="Z78">
        <v>165.8</v>
      </c>
      <c r="AA78">
        <v>169</v>
      </c>
      <c r="AB78">
        <v>169.4</v>
      </c>
      <c r="AC78">
        <v>167.5</v>
      </c>
      <c r="AD78">
        <v>172.6</v>
      </c>
    </row>
    <row r="79" spans="1:30" x14ac:dyDescent="0.3">
      <c r="A79" t="s">
        <v>34</v>
      </c>
      <c r="B79">
        <v>2022</v>
      </c>
      <c r="C79" t="s">
        <v>40</v>
      </c>
      <c r="D79">
        <v>156.5</v>
      </c>
      <c r="E79">
        <v>213</v>
      </c>
      <c r="F79">
        <v>175.2</v>
      </c>
      <c r="G79">
        <v>166.6</v>
      </c>
      <c r="H79">
        <v>195.8</v>
      </c>
      <c r="I79">
        <v>174.2</v>
      </c>
      <c r="J79">
        <v>182.1</v>
      </c>
      <c r="K79">
        <v>164.3</v>
      </c>
      <c r="L79">
        <v>120</v>
      </c>
      <c r="M79">
        <v>190</v>
      </c>
      <c r="N79">
        <v>168.4</v>
      </c>
      <c r="O79">
        <v>185.2</v>
      </c>
      <c r="P79">
        <v>175</v>
      </c>
      <c r="Q79">
        <v>194.6</v>
      </c>
      <c r="R79">
        <v>178.3</v>
      </c>
      <c r="S79">
        <v>171.3</v>
      </c>
      <c r="T79">
        <v>177.3</v>
      </c>
      <c r="U79">
        <v>167.8</v>
      </c>
      <c r="V79">
        <v>179.6</v>
      </c>
      <c r="W79">
        <v>167.4</v>
      </c>
      <c r="X79">
        <v>176.1</v>
      </c>
      <c r="Y79">
        <v>161.6</v>
      </c>
      <c r="Z79">
        <v>166.3</v>
      </c>
      <c r="AA79">
        <v>171.4</v>
      </c>
      <c r="AB79">
        <v>169.7</v>
      </c>
      <c r="AC79">
        <v>168.4</v>
      </c>
      <c r="AD79">
        <v>173.4</v>
      </c>
    </row>
    <row r="80" spans="1:30" x14ac:dyDescent="0.3">
      <c r="A80" t="s">
        <v>34</v>
      </c>
      <c r="B80">
        <v>2022</v>
      </c>
      <c r="C80" t="s">
        <v>41</v>
      </c>
      <c r="D80">
        <v>160.30000000000001</v>
      </c>
      <c r="E80">
        <v>206.5</v>
      </c>
      <c r="F80">
        <v>169.2</v>
      </c>
      <c r="G80">
        <v>168.1</v>
      </c>
      <c r="H80">
        <v>192.4</v>
      </c>
      <c r="I80">
        <v>172.9</v>
      </c>
      <c r="J80">
        <v>186.7</v>
      </c>
      <c r="K80">
        <v>167.2</v>
      </c>
      <c r="L80">
        <v>120.9</v>
      </c>
      <c r="M80">
        <v>193.6</v>
      </c>
      <c r="N80">
        <v>168.8</v>
      </c>
      <c r="O80">
        <v>186.3</v>
      </c>
      <c r="P80">
        <v>176.3</v>
      </c>
      <c r="Q80">
        <v>195</v>
      </c>
      <c r="R80">
        <v>179.5</v>
      </c>
      <c r="S80">
        <v>172.7</v>
      </c>
      <c r="T80">
        <v>178.5</v>
      </c>
      <c r="U80">
        <v>169</v>
      </c>
      <c r="V80">
        <v>178.8</v>
      </c>
      <c r="W80">
        <v>168.5</v>
      </c>
      <c r="X80">
        <v>176.8</v>
      </c>
      <c r="Y80">
        <v>161.9</v>
      </c>
      <c r="Z80">
        <v>166.9</v>
      </c>
      <c r="AA80">
        <v>172.3</v>
      </c>
      <c r="AB80">
        <v>171.2</v>
      </c>
      <c r="AC80">
        <v>169.1</v>
      </c>
      <c r="AD80">
        <v>174.3</v>
      </c>
    </row>
    <row r="81" spans="1:30" x14ac:dyDescent="0.3">
      <c r="A81" t="s">
        <v>34</v>
      </c>
      <c r="B81">
        <v>2022</v>
      </c>
      <c r="C81" t="s">
        <v>42</v>
      </c>
      <c r="D81">
        <v>163.5</v>
      </c>
      <c r="E81">
        <v>209.2</v>
      </c>
      <c r="F81">
        <v>169.7</v>
      </c>
      <c r="G81">
        <v>169.7</v>
      </c>
      <c r="H81">
        <v>188.7</v>
      </c>
      <c r="I81">
        <v>165.7</v>
      </c>
      <c r="J81">
        <v>191.8</v>
      </c>
      <c r="K81">
        <v>169.1</v>
      </c>
      <c r="L81">
        <v>121.6</v>
      </c>
      <c r="M81">
        <v>197.3</v>
      </c>
      <c r="N81">
        <v>169.4</v>
      </c>
      <c r="O81">
        <v>187.4</v>
      </c>
      <c r="P81">
        <v>177.8</v>
      </c>
      <c r="Q81">
        <v>195.9</v>
      </c>
      <c r="R81">
        <v>180.9</v>
      </c>
      <c r="S81">
        <v>174.3</v>
      </c>
      <c r="T81">
        <v>179.9</v>
      </c>
      <c r="U81">
        <v>169.5</v>
      </c>
      <c r="V81">
        <v>179.5</v>
      </c>
      <c r="W81">
        <v>169.5</v>
      </c>
      <c r="X81">
        <v>177.8</v>
      </c>
      <c r="Y81">
        <v>162.30000000000001</v>
      </c>
      <c r="Z81">
        <v>167.6</v>
      </c>
      <c r="AA81">
        <v>173.1</v>
      </c>
      <c r="AB81">
        <v>170.9</v>
      </c>
      <c r="AC81">
        <v>169.7</v>
      </c>
      <c r="AD81">
        <v>175.3</v>
      </c>
    </row>
    <row r="82" spans="1:30" x14ac:dyDescent="0.3">
      <c r="A82" t="s">
        <v>34</v>
      </c>
      <c r="B82">
        <v>2022</v>
      </c>
      <c r="C82" t="s">
        <v>43</v>
      </c>
      <c r="D82">
        <v>165.2</v>
      </c>
      <c r="E82">
        <v>210.9</v>
      </c>
      <c r="F82">
        <v>170.9</v>
      </c>
      <c r="G82">
        <v>170.9</v>
      </c>
      <c r="H82">
        <v>186.5</v>
      </c>
      <c r="I82">
        <v>163.80000000000001</v>
      </c>
      <c r="J82">
        <v>199.7</v>
      </c>
      <c r="K82">
        <v>169.8</v>
      </c>
      <c r="L82">
        <v>121.9</v>
      </c>
      <c r="M82">
        <v>199.9</v>
      </c>
      <c r="N82">
        <v>169.9</v>
      </c>
      <c r="O82">
        <v>188.3</v>
      </c>
      <c r="P82">
        <v>179.6</v>
      </c>
      <c r="Q82">
        <v>196.3</v>
      </c>
      <c r="R82">
        <v>181.9</v>
      </c>
      <c r="S82">
        <v>175.3</v>
      </c>
      <c r="T82">
        <v>181</v>
      </c>
      <c r="U82">
        <v>171.2</v>
      </c>
      <c r="V82">
        <v>180.5</v>
      </c>
      <c r="W82">
        <v>170.4</v>
      </c>
      <c r="X82">
        <v>178.7</v>
      </c>
      <c r="Y82">
        <v>162.9</v>
      </c>
      <c r="Z82">
        <v>168.2</v>
      </c>
      <c r="AA82">
        <v>173.4</v>
      </c>
      <c r="AB82">
        <v>172.1</v>
      </c>
      <c r="AC82">
        <v>170.5</v>
      </c>
      <c r="AD82">
        <v>176.7</v>
      </c>
    </row>
    <row r="83" spans="1:30" x14ac:dyDescent="0.3">
      <c r="A83" t="s">
        <v>34</v>
      </c>
      <c r="B83">
        <v>2022</v>
      </c>
      <c r="C83" t="s">
        <v>45</v>
      </c>
      <c r="D83">
        <v>167.4</v>
      </c>
      <c r="E83">
        <v>209.4</v>
      </c>
      <c r="F83">
        <v>181.4</v>
      </c>
      <c r="G83">
        <v>172.3</v>
      </c>
      <c r="H83">
        <v>188.9</v>
      </c>
      <c r="I83">
        <v>160.69999999999999</v>
      </c>
      <c r="J83">
        <v>183.1</v>
      </c>
      <c r="K83">
        <v>170.5</v>
      </c>
      <c r="L83">
        <v>122.1</v>
      </c>
      <c r="M83">
        <v>202.8</v>
      </c>
      <c r="N83">
        <v>170.4</v>
      </c>
      <c r="O83">
        <v>189.5</v>
      </c>
      <c r="P83">
        <v>178.3</v>
      </c>
      <c r="Q83">
        <v>196.9</v>
      </c>
      <c r="R83">
        <v>183.1</v>
      </c>
      <c r="S83">
        <v>176.2</v>
      </c>
      <c r="T83">
        <v>182.1</v>
      </c>
      <c r="U83">
        <v>171.8</v>
      </c>
      <c r="V83">
        <v>181.3</v>
      </c>
      <c r="W83">
        <v>171.4</v>
      </c>
      <c r="X83">
        <v>179.8</v>
      </c>
      <c r="Y83">
        <v>163</v>
      </c>
      <c r="Z83">
        <v>168.5</v>
      </c>
      <c r="AA83">
        <v>173.7</v>
      </c>
      <c r="AB83">
        <v>173.6</v>
      </c>
      <c r="AC83">
        <v>171.1</v>
      </c>
      <c r="AD83">
        <v>176.5</v>
      </c>
    </row>
    <row r="84" spans="1:30" x14ac:dyDescent="0.3">
      <c r="A84" t="s">
        <v>34</v>
      </c>
      <c r="B84">
        <v>2022</v>
      </c>
      <c r="C84" t="s">
        <v>46</v>
      </c>
      <c r="D84">
        <v>169.2</v>
      </c>
      <c r="E84">
        <v>209</v>
      </c>
      <c r="F84">
        <v>190.2</v>
      </c>
      <c r="G84">
        <v>173.6</v>
      </c>
      <c r="H84">
        <v>188.5</v>
      </c>
      <c r="I84">
        <v>158</v>
      </c>
      <c r="J84">
        <v>159.9</v>
      </c>
      <c r="K84">
        <v>170.8</v>
      </c>
      <c r="L84">
        <v>121.8</v>
      </c>
      <c r="M84">
        <v>205.2</v>
      </c>
      <c r="N84">
        <v>171</v>
      </c>
      <c r="O84">
        <v>190.3</v>
      </c>
      <c r="P84">
        <v>175.9</v>
      </c>
      <c r="Q84">
        <v>197.3</v>
      </c>
      <c r="R84">
        <v>184</v>
      </c>
      <c r="S84">
        <v>177</v>
      </c>
      <c r="T84">
        <v>183</v>
      </c>
      <c r="U84">
        <v>170.7</v>
      </c>
      <c r="V84">
        <v>182</v>
      </c>
      <c r="W84">
        <v>172.1</v>
      </c>
      <c r="X84">
        <v>181.1</v>
      </c>
      <c r="Y84">
        <v>163.4</v>
      </c>
      <c r="Z84">
        <v>168.9</v>
      </c>
      <c r="AA84">
        <v>174.1</v>
      </c>
      <c r="AB84">
        <v>175.8</v>
      </c>
      <c r="AC84">
        <v>172</v>
      </c>
      <c r="AD84">
        <v>175.7</v>
      </c>
    </row>
    <row r="85" spans="1:30" x14ac:dyDescent="0.3">
      <c r="A85" t="s">
        <v>34</v>
      </c>
      <c r="B85">
        <v>2023</v>
      </c>
      <c r="C85" t="s">
        <v>31</v>
      </c>
      <c r="D85">
        <v>173.8</v>
      </c>
      <c r="E85">
        <v>210.7</v>
      </c>
      <c r="F85">
        <v>194.5</v>
      </c>
      <c r="G85">
        <v>174.6</v>
      </c>
      <c r="H85">
        <v>187.2</v>
      </c>
      <c r="I85">
        <v>158.30000000000001</v>
      </c>
      <c r="J85">
        <v>153.9</v>
      </c>
      <c r="K85">
        <v>170.9</v>
      </c>
      <c r="L85">
        <v>121.1</v>
      </c>
      <c r="M85">
        <v>208.4</v>
      </c>
      <c r="N85">
        <v>171.4</v>
      </c>
      <c r="O85">
        <v>191.2</v>
      </c>
      <c r="P85">
        <v>176.7</v>
      </c>
      <c r="Q85">
        <v>198.2</v>
      </c>
      <c r="R85">
        <v>184.9</v>
      </c>
      <c r="S85">
        <v>177.6</v>
      </c>
      <c r="T85">
        <v>183.8</v>
      </c>
      <c r="U85">
        <v>172.1</v>
      </c>
      <c r="V85">
        <v>182</v>
      </c>
      <c r="W85">
        <v>172.9</v>
      </c>
      <c r="X85">
        <v>182.3</v>
      </c>
      <c r="Y85">
        <v>163.6</v>
      </c>
      <c r="Z85">
        <v>169.5</v>
      </c>
      <c r="AA85">
        <v>174.3</v>
      </c>
      <c r="AB85">
        <v>178.6</v>
      </c>
      <c r="AC85">
        <v>172.8</v>
      </c>
      <c r="AD85">
        <v>176.5</v>
      </c>
    </row>
    <row r="86" spans="1:30" x14ac:dyDescent="0.3">
      <c r="A86" t="s">
        <v>34</v>
      </c>
      <c r="B86">
        <v>2023</v>
      </c>
      <c r="C86" t="s">
        <v>35</v>
      </c>
      <c r="D86">
        <v>174.4</v>
      </c>
      <c r="E86">
        <v>207.7</v>
      </c>
      <c r="F86">
        <v>175.2</v>
      </c>
      <c r="G86">
        <v>177.3</v>
      </c>
      <c r="H86">
        <v>179.3</v>
      </c>
      <c r="I86">
        <v>169.5</v>
      </c>
      <c r="J86">
        <v>152.69999999999999</v>
      </c>
      <c r="K86">
        <v>171</v>
      </c>
      <c r="L86">
        <v>120</v>
      </c>
      <c r="M86">
        <v>209.7</v>
      </c>
      <c r="N86">
        <v>172.3</v>
      </c>
      <c r="O86">
        <v>193</v>
      </c>
      <c r="P86">
        <v>177</v>
      </c>
      <c r="Q86">
        <v>199.5</v>
      </c>
      <c r="R86">
        <v>186.2</v>
      </c>
      <c r="S86">
        <v>178.7</v>
      </c>
      <c r="T86">
        <v>185.1</v>
      </c>
      <c r="U86">
        <v>173.5</v>
      </c>
      <c r="V86">
        <v>182.1</v>
      </c>
      <c r="W86">
        <v>174.2</v>
      </c>
      <c r="X86">
        <v>184.4</v>
      </c>
      <c r="Y86">
        <v>164.2</v>
      </c>
      <c r="Z86">
        <v>170.3</v>
      </c>
      <c r="AA86">
        <v>175</v>
      </c>
      <c r="AB86">
        <v>181</v>
      </c>
      <c r="AC86">
        <v>174.1</v>
      </c>
      <c r="AD86">
        <v>177.2</v>
      </c>
    </row>
    <row r="87" spans="1:30" x14ac:dyDescent="0.3">
      <c r="A87" t="s">
        <v>34</v>
      </c>
      <c r="B87">
        <v>2023</v>
      </c>
      <c r="C87" t="s">
        <v>36</v>
      </c>
      <c r="D87">
        <v>174.4</v>
      </c>
      <c r="E87">
        <v>207.7</v>
      </c>
      <c r="F87">
        <v>175.2</v>
      </c>
      <c r="G87">
        <v>177.3</v>
      </c>
      <c r="H87">
        <v>179.2</v>
      </c>
      <c r="I87">
        <v>169.5</v>
      </c>
      <c r="J87">
        <v>152.80000000000001</v>
      </c>
      <c r="K87">
        <v>171.1</v>
      </c>
      <c r="L87">
        <v>120</v>
      </c>
      <c r="M87">
        <v>209.7</v>
      </c>
      <c r="N87">
        <v>172.3</v>
      </c>
      <c r="O87">
        <v>193</v>
      </c>
      <c r="P87">
        <v>177</v>
      </c>
      <c r="Q87">
        <v>199.5</v>
      </c>
      <c r="R87">
        <v>186.1</v>
      </c>
      <c r="S87">
        <v>178.7</v>
      </c>
      <c r="T87">
        <v>185.1</v>
      </c>
      <c r="U87">
        <v>173.5</v>
      </c>
      <c r="V87">
        <v>181.9</v>
      </c>
      <c r="W87">
        <v>174.2</v>
      </c>
      <c r="X87">
        <v>184.4</v>
      </c>
      <c r="Y87">
        <v>164.2</v>
      </c>
      <c r="Z87">
        <v>170.3</v>
      </c>
      <c r="AA87">
        <v>175</v>
      </c>
      <c r="AB87">
        <v>181</v>
      </c>
      <c r="AC87">
        <v>174.1</v>
      </c>
      <c r="AD87">
        <v>177.2</v>
      </c>
    </row>
    <row r="88" spans="1:30" x14ac:dyDescent="0.3">
      <c r="A88" t="s">
        <v>34</v>
      </c>
      <c r="B88">
        <v>2023</v>
      </c>
      <c r="C88" t="s">
        <v>37</v>
      </c>
      <c r="D88">
        <v>173.8</v>
      </c>
      <c r="E88">
        <v>209.3</v>
      </c>
      <c r="F88">
        <v>169.6</v>
      </c>
      <c r="G88">
        <v>178.4</v>
      </c>
      <c r="H88">
        <v>174.9</v>
      </c>
      <c r="I88">
        <v>176.3</v>
      </c>
      <c r="J88">
        <v>155.4</v>
      </c>
      <c r="K88">
        <v>173.4</v>
      </c>
      <c r="L88">
        <v>121.3</v>
      </c>
      <c r="M88">
        <v>212.9</v>
      </c>
      <c r="N88">
        <v>172.9</v>
      </c>
      <c r="O88">
        <v>193.5</v>
      </c>
      <c r="P88">
        <v>177.9</v>
      </c>
      <c r="Q88">
        <v>200.6</v>
      </c>
      <c r="R88">
        <v>186.9</v>
      </c>
      <c r="S88">
        <v>179.2</v>
      </c>
      <c r="T88">
        <v>185.7</v>
      </c>
      <c r="U88">
        <v>175.2</v>
      </c>
      <c r="V88">
        <v>181.7</v>
      </c>
      <c r="W88">
        <v>174.6</v>
      </c>
      <c r="X88">
        <v>185</v>
      </c>
      <c r="Y88">
        <v>164.5</v>
      </c>
      <c r="Z88">
        <v>170.7</v>
      </c>
      <c r="AA88">
        <v>176.4</v>
      </c>
      <c r="AB88">
        <v>184</v>
      </c>
      <c r="AC88">
        <v>175</v>
      </c>
      <c r="AD88">
        <v>178.1</v>
      </c>
    </row>
    <row r="89" spans="1:30" x14ac:dyDescent="0.3">
      <c r="A89" t="s">
        <v>34</v>
      </c>
      <c r="B89">
        <v>2023</v>
      </c>
      <c r="C89" t="s">
        <v>38</v>
      </c>
      <c r="D89">
        <v>173.7</v>
      </c>
      <c r="E89">
        <v>214.3</v>
      </c>
      <c r="F89">
        <v>173.2</v>
      </c>
      <c r="G89">
        <v>179.5</v>
      </c>
      <c r="H89">
        <v>170</v>
      </c>
      <c r="I89">
        <v>172.2</v>
      </c>
      <c r="J89">
        <v>161</v>
      </c>
      <c r="K89">
        <v>175.6</v>
      </c>
      <c r="L89">
        <v>122.7</v>
      </c>
      <c r="M89">
        <v>218</v>
      </c>
      <c r="N89">
        <v>173.4</v>
      </c>
      <c r="O89">
        <v>194.2</v>
      </c>
      <c r="P89">
        <v>179.1</v>
      </c>
      <c r="Q89">
        <v>201</v>
      </c>
      <c r="R89">
        <v>187.3</v>
      </c>
      <c r="S89">
        <v>179.7</v>
      </c>
      <c r="T89">
        <v>186.2</v>
      </c>
      <c r="U89">
        <v>175.6</v>
      </c>
      <c r="V89">
        <v>182.8</v>
      </c>
      <c r="W89">
        <v>175.2</v>
      </c>
      <c r="X89">
        <v>185.7</v>
      </c>
      <c r="Y89">
        <v>164.8</v>
      </c>
      <c r="Z89">
        <v>171.2</v>
      </c>
      <c r="AA89">
        <v>177.1</v>
      </c>
      <c r="AB89">
        <v>185.2</v>
      </c>
      <c r="AC89">
        <v>175.7</v>
      </c>
      <c r="AD89">
        <v>179.1</v>
      </c>
    </row>
  </sheetData>
  <autoFilter ref="A1:AD89" xr:uid="{7986A17A-4585-44C9-814C-79D600C40688}">
    <filterColumn colId="1">
      <filters>
        <filter val="2021"/>
        <filter val="2022"/>
        <filter val="2023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47EBC-266E-4ED1-8F5B-0784F13272D6}">
  <dimension ref="A1:B27"/>
  <sheetViews>
    <sheetView workbookViewId="0">
      <selection activeCell="C27" sqref="C27"/>
    </sheetView>
  </sheetViews>
  <sheetFormatPr defaultRowHeight="14.4" x14ac:dyDescent="0.3"/>
  <cols>
    <col min="1" max="1" width="30.77734375" bestFit="1" customWidth="1"/>
    <col min="2" max="2" width="24.21875" bestFit="1" customWidth="1"/>
  </cols>
  <sheetData>
    <row r="1" spans="1:2" x14ac:dyDescent="0.3">
      <c r="A1" t="s">
        <v>56</v>
      </c>
      <c r="B1" t="s">
        <v>49</v>
      </c>
    </row>
    <row r="2" spans="1:2" x14ac:dyDescent="0.3">
      <c r="A2" t="s">
        <v>3</v>
      </c>
      <c r="B2" t="s">
        <v>50</v>
      </c>
    </row>
    <row r="3" spans="1:2" x14ac:dyDescent="0.3">
      <c r="A3" t="s">
        <v>4</v>
      </c>
      <c r="B3" t="s">
        <v>50</v>
      </c>
    </row>
    <row r="4" spans="1:2" x14ac:dyDescent="0.3">
      <c r="A4" t="s">
        <v>5</v>
      </c>
      <c r="B4" t="s">
        <v>50</v>
      </c>
    </row>
    <row r="5" spans="1:2" x14ac:dyDescent="0.3">
      <c r="A5" t="s">
        <v>6</v>
      </c>
      <c r="B5" t="s">
        <v>50</v>
      </c>
    </row>
    <row r="6" spans="1:2" x14ac:dyDescent="0.3">
      <c r="A6" t="s">
        <v>7</v>
      </c>
      <c r="B6" t="s">
        <v>50</v>
      </c>
    </row>
    <row r="7" spans="1:2" x14ac:dyDescent="0.3">
      <c r="A7" t="s">
        <v>8</v>
      </c>
      <c r="B7" t="s">
        <v>50</v>
      </c>
    </row>
    <row r="8" spans="1:2" x14ac:dyDescent="0.3">
      <c r="A8" t="s">
        <v>9</v>
      </c>
      <c r="B8" t="s">
        <v>50</v>
      </c>
    </row>
    <row r="9" spans="1:2" x14ac:dyDescent="0.3">
      <c r="A9" t="s">
        <v>10</v>
      </c>
      <c r="B9" t="s">
        <v>50</v>
      </c>
    </row>
    <row r="10" spans="1:2" x14ac:dyDescent="0.3">
      <c r="A10" t="s">
        <v>11</v>
      </c>
      <c r="B10" t="s">
        <v>50</v>
      </c>
    </row>
    <row r="11" spans="1:2" x14ac:dyDescent="0.3">
      <c r="A11" t="s">
        <v>12</v>
      </c>
      <c r="B11" t="s">
        <v>50</v>
      </c>
    </row>
    <row r="12" spans="1:2" x14ac:dyDescent="0.3">
      <c r="A12" t="s">
        <v>13</v>
      </c>
      <c r="B12" t="s">
        <v>50</v>
      </c>
    </row>
    <row r="13" spans="1:2" x14ac:dyDescent="0.3">
      <c r="A13" t="s">
        <v>14</v>
      </c>
      <c r="B13" t="s">
        <v>50</v>
      </c>
    </row>
    <row r="14" spans="1:2" x14ac:dyDescent="0.3">
      <c r="A14" t="s">
        <v>15</v>
      </c>
      <c r="B14" t="s">
        <v>50</v>
      </c>
    </row>
    <row r="15" spans="1:2" x14ac:dyDescent="0.3">
      <c r="A15" t="s">
        <v>16</v>
      </c>
      <c r="B15" t="s">
        <v>16</v>
      </c>
    </row>
    <row r="16" spans="1:2" x14ac:dyDescent="0.3">
      <c r="A16" t="s">
        <v>17</v>
      </c>
      <c r="B16" t="s">
        <v>51</v>
      </c>
    </row>
    <row r="17" spans="1:2" x14ac:dyDescent="0.3">
      <c r="A17" t="s">
        <v>18</v>
      </c>
      <c r="B17" t="s">
        <v>51</v>
      </c>
    </row>
    <row r="18" spans="1:2" x14ac:dyDescent="0.3">
      <c r="A18" t="s">
        <v>19</v>
      </c>
      <c r="B18" t="s">
        <v>51</v>
      </c>
    </row>
    <row r="19" spans="1:2" x14ac:dyDescent="0.3">
      <c r="A19" t="s">
        <v>20</v>
      </c>
      <c r="B19" t="s">
        <v>52</v>
      </c>
    </row>
    <row r="20" spans="1:2" x14ac:dyDescent="0.3">
      <c r="A20" t="s">
        <v>21</v>
      </c>
      <c r="B20" t="s">
        <v>53</v>
      </c>
    </row>
    <row r="21" spans="1:2" x14ac:dyDescent="0.3">
      <c r="A21" t="s">
        <v>22</v>
      </c>
      <c r="B21" t="s">
        <v>52</v>
      </c>
    </row>
    <row r="22" spans="1:2" x14ac:dyDescent="0.3">
      <c r="A22" t="s">
        <v>23</v>
      </c>
      <c r="B22" t="s">
        <v>23</v>
      </c>
    </row>
    <row r="23" spans="1:2" x14ac:dyDescent="0.3">
      <c r="A23" t="s">
        <v>24</v>
      </c>
      <c r="B23" t="s">
        <v>54</v>
      </c>
    </row>
    <row r="24" spans="1:2" x14ac:dyDescent="0.3">
      <c r="A24" t="s">
        <v>25</v>
      </c>
      <c r="B24" t="s">
        <v>55</v>
      </c>
    </row>
    <row r="25" spans="1:2" x14ac:dyDescent="0.3">
      <c r="A25" t="s">
        <v>26</v>
      </c>
      <c r="B25" t="s">
        <v>26</v>
      </c>
    </row>
    <row r="26" spans="1:2" x14ac:dyDescent="0.3">
      <c r="A26" t="s">
        <v>27</v>
      </c>
      <c r="B26" t="s">
        <v>55</v>
      </c>
    </row>
    <row r="27" spans="1:2" x14ac:dyDescent="0.3">
      <c r="A27" t="s">
        <v>28</v>
      </c>
      <c r="B27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A01E8-FF22-4222-AA7F-9826C036BCAF}">
  <dimension ref="A1"/>
  <sheetViews>
    <sheetView showGridLines="0" tabSelected="1" workbookViewId="0">
      <selection activeCell="O32" sqref="O3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CE376-B81B-4E26-9B22-27364FE99D22}">
  <dimension ref="A1:AD58"/>
  <sheetViews>
    <sheetView workbookViewId="0">
      <selection activeCell="S44" sqref="S44"/>
    </sheetView>
  </sheetViews>
  <sheetFormatPr defaultRowHeight="14.4" x14ac:dyDescent="0.3"/>
  <cols>
    <col min="2" max="2" width="11.109375" bestFit="1" customWidth="1"/>
  </cols>
  <sheetData>
    <row r="1" spans="1:30" x14ac:dyDescent="0.3">
      <c r="A1" s="39" t="s">
        <v>1</v>
      </c>
      <c r="B1" s="39" t="s">
        <v>2</v>
      </c>
      <c r="C1" s="39" t="s">
        <v>114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ht="15.6" x14ac:dyDescent="0.3">
      <c r="A2" s="38">
        <v>2021</v>
      </c>
      <c r="B2" s="37">
        <v>33329</v>
      </c>
      <c r="C2" s="36">
        <v>63.396976500000008</v>
      </c>
      <c r="D2">
        <v>144.30000000000001</v>
      </c>
      <c r="E2">
        <v>198</v>
      </c>
      <c r="F2">
        <v>164.6</v>
      </c>
      <c r="G2">
        <v>155.4</v>
      </c>
      <c r="H2">
        <v>170.1</v>
      </c>
      <c r="I2">
        <v>164.4</v>
      </c>
      <c r="J2">
        <v>144.1</v>
      </c>
      <c r="K2">
        <v>161.69999999999999</v>
      </c>
      <c r="L2">
        <v>113.1</v>
      </c>
      <c r="M2">
        <v>163.9</v>
      </c>
      <c r="N2">
        <v>157.6</v>
      </c>
      <c r="O2">
        <v>168.9</v>
      </c>
      <c r="P2">
        <v>158</v>
      </c>
      <c r="Q2">
        <v>188.8</v>
      </c>
      <c r="R2">
        <v>158.80000000000001</v>
      </c>
      <c r="S2">
        <v>148.5</v>
      </c>
      <c r="T2">
        <v>157.30000000000001</v>
      </c>
      <c r="U2">
        <v>161.4</v>
      </c>
      <c r="V2">
        <v>155.6</v>
      </c>
      <c r="W2">
        <v>151.80000000000001</v>
      </c>
      <c r="X2">
        <v>162.30000000000001</v>
      </c>
      <c r="Y2">
        <v>146.6</v>
      </c>
      <c r="Z2">
        <v>153.19999999999999</v>
      </c>
      <c r="AA2">
        <v>160.30000000000001</v>
      </c>
      <c r="AB2">
        <v>155.4</v>
      </c>
      <c r="AC2">
        <v>154.4</v>
      </c>
      <c r="AD2">
        <v>157.80000000000001</v>
      </c>
    </row>
    <row r="3" spans="1:30" ht="15.6" x14ac:dyDescent="0.3">
      <c r="A3" s="38">
        <v>2021</v>
      </c>
      <c r="B3" s="37">
        <v>33359</v>
      </c>
      <c r="C3" s="36">
        <v>66.953084852941174</v>
      </c>
      <c r="D3">
        <v>146.30000000000001</v>
      </c>
      <c r="E3">
        <v>200.5</v>
      </c>
      <c r="F3">
        <v>170.3</v>
      </c>
      <c r="G3">
        <v>156.1</v>
      </c>
      <c r="H3">
        <v>178.7</v>
      </c>
      <c r="I3">
        <v>167.1</v>
      </c>
      <c r="J3">
        <v>147.9</v>
      </c>
      <c r="K3">
        <v>165.4</v>
      </c>
      <c r="L3">
        <v>114.8</v>
      </c>
      <c r="M3">
        <v>168.2</v>
      </c>
      <c r="N3">
        <v>159.30000000000001</v>
      </c>
      <c r="O3">
        <v>170.4</v>
      </c>
      <c r="P3">
        <v>160.69999999999999</v>
      </c>
      <c r="Q3">
        <v>191.9</v>
      </c>
      <c r="R3">
        <v>161.80000000000001</v>
      </c>
      <c r="S3">
        <v>152.1</v>
      </c>
      <c r="T3">
        <v>160.4</v>
      </c>
      <c r="U3">
        <v>161.6</v>
      </c>
      <c r="V3">
        <v>159.4</v>
      </c>
      <c r="W3">
        <v>154.69999999999999</v>
      </c>
      <c r="X3">
        <v>165.8</v>
      </c>
      <c r="Y3">
        <v>148.9</v>
      </c>
      <c r="Z3">
        <v>155.80000000000001</v>
      </c>
      <c r="AA3">
        <v>161.19999999999999</v>
      </c>
      <c r="AB3">
        <v>158.6</v>
      </c>
      <c r="AC3">
        <v>156.80000000000001</v>
      </c>
      <c r="AD3">
        <v>160.4</v>
      </c>
    </row>
    <row r="4" spans="1:30" ht="15.6" x14ac:dyDescent="0.3">
      <c r="A4" s="38">
        <v>2021</v>
      </c>
      <c r="B4" s="37">
        <v>33390</v>
      </c>
      <c r="C4" s="36">
        <v>71.982647477272721</v>
      </c>
      <c r="D4">
        <v>146.69999999999999</v>
      </c>
      <c r="E4">
        <v>202</v>
      </c>
      <c r="F4">
        <v>180.7</v>
      </c>
      <c r="G4">
        <v>156.19999999999999</v>
      </c>
      <c r="H4">
        <v>183.7</v>
      </c>
      <c r="I4">
        <v>164.6</v>
      </c>
      <c r="J4">
        <v>155.4</v>
      </c>
      <c r="K4">
        <v>166</v>
      </c>
      <c r="L4">
        <v>115.1</v>
      </c>
      <c r="M4">
        <v>168.5</v>
      </c>
      <c r="N4">
        <v>160</v>
      </c>
      <c r="O4">
        <v>172.4</v>
      </c>
      <c r="P4">
        <v>162.6</v>
      </c>
      <c r="Q4">
        <v>190.8</v>
      </c>
      <c r="R4">
        <v>162.19999999999999</v>
      </c>
      <c r="S4">
        <v>151.80000000000001</v>
      </c>
      <c r="T4">
        <v>160.69999999999999</v>
      </c>
      <c r="U4">
        <v>160.5</v>
      </c>
      <c r="V4">
        <v>159.80000000000001</v>
      </c>
      <c r="W4">
        <v>154.80000000000001</v>
      </c>
      <c r="X4">
        <v>166.3</v>
      </c>
      <c r="Y4">
        <v>150.69999999999999</v>
      </c>
      <c r="Z4">
        <v>154.9</v>
      </c>
      <c r="AA4">
        <v>161.69999999999999</v>
      </c>
      <c r="AB4">
        <v>158.80000000000001</v>
      </c>
      <c r="AC4">
        <v>157.6</v>
      </c>
      <c r="AD4">
        <v>161.30000000000001</v>
      </c>
    </row>
    <row r="5" spans="1:30" ht="15.6" x14ac:dyDescent="0.3">
      <c r="A5" s="38">
        <v>2021</v>
      </c>
      <c r="B5" s="37">
        <v>33420</v>
      </c>
      <c r="C5" s="36">
        <v>73.539060523809511</v>
      </c>
      <c r="D5">
        <v>146.4</v>
      </c>
      <c r="E5">
        <v>206.8</v>
      </c>
      <c r="F5">
        <v>182.2</v>
      </c>
      <c r="G5">
        <v>157.5</v>
      </c>
      <c r="H5">
        <v>182.1</v>
      </c>
      <c r="I5">
        <v>163.9</v>
      </c>
      <c r="J5">
        <v>164.2</v>
      </c>
      <c r="K5">
        <v>164</v>
      </c>
      <c r="L5">
        <v>114.5</v>
      </c>
      <c r="M5">
        <v>168.3</v>
      </c>
      <c r="N5">
        <v>160.9</v>
      </c>
      <c r="O5">
        <v>172.2</v>
      </c>
      <c r="P5">
        <v>164</v>
      </c>
      <c r="Q5">
        <v>191.2</v>
      </c>
      <c r="R5">
        <v>162.80000000000001</v>
      </c>
      <c r="S5">
        <v>153.1</v>
      </c>
      <c r="T5">
        <v>161.4</v>
      </c>
      <c r="U5">
        <v>161.5</v>
      </c>
      <c r="V5">
        <v>160.69999999999999</v>
      </c>
      <c r="W5">
        <v>155.80000000000001</v>
      </c>
      <c r="X5">
        <v>167</v>
      </c>
      <c r="Y5">
        <v>153.1</v>
      </c>
      <c r="Z5">
        <v>155.30000000000001</v>
      </c>
      <c r="AA5">
        <v>163.19999999999999</v>
      </c>
      <c r="AB5">
        <v>160.1</v>
      </c>
      <c r="AC5">
        <v>159</v>
      </c>
      <c r="AD5">
        <v>162.5</v>
      </c>
    </row>
    <row r="6" spans="1:30" ht="15.6" x14ac:dyDescent="0.3">
      <c r="A6" s="38">
        <v>2021</v>
      </c>
      <c r="B6" s="37">
        <v>33451</v>
      </c>
      <c r="C6" s="36">
        <v>69.804724424999989</v>
      </c>
      <c r="D6">
        <v>146.6</v>
      </c>
      <c r="E6">
        <v>204</v>
      </c>
      <c r="F6">
        <v>172.8</v>
      </c>
      <c r="G6">
        <v>158.4</v>
      </c>
      <c r="H6">
        <v>188</v>
      </c>
      <c r="I6">
        <v>156.80000000000001</v>
      </c>
      <c r="J6">
        <v>162.19999999999999</v>
      </c>
      <c r="K6">
        <v>164.1</v>
      </c>
      <c r="L6">
        <v>119.7</v>
      </c>
      <c r="M6">
        <v>168.8</v>
      </c>
      <c r="N6">
        <v>162.69999999999999</v>
      </c>
      <c r="O6">
        <v>173.9</v>
      </c>
      <c r="P6">
        <v>164</v>
      </c>
      <c r="Q6">
        <v>192.1</v>
      </c>
      <c r="R6">
        <v>164.5</v>
      </c>
      <c r="S6">
        <v>155.30000000000001</v>
      </c>
      <c r="T6">
        <v>163.19999999999999</v>
      </c>
      <c r="U6">
        <v>162.1</v>
      </c>
      <c r="V6">
        <v>162.6</v>
      </c>
      <c r="W6">
        <v>157.5</v>
      </c>
      <c r="X6">
        <v>168.4</v>
      </c>
      <c r="Y6">
        <v>154</v>
      </c>
      <c r="Z6">
        <v>157.6</v>
      </c>
      <c r="AA6">
        <v>163.80000000000001</v>
      </c>
      <c r="AB6">
        <v>160</v>
      </c>
      <c r="AC6">
        <v>160</v>
      </c>
      <c r="AD6">
        <v>163.19999999999999</v>
      </c>
    </row>
    <row r="7" spans="1:30" ht="15.6" x14ac:dyDescent="0.3">
      <c r="A7" s="38">
        <v>2021</v>
      </c>
      <c r="B7" s="37">
        <v>33482</v>
      </c>
      <c r="C7" s="36">
        <v>73.130738295454549</v>
      </c>
      <c r="D7">
        <v>146.6</v>
      </c>
      <c r="E7">
        <v>204</v>
      </c>
      <c r="F7">
        <v>172.8</v>
      </c>
      <c r="G7">
        <v>158.4</v>
      </c>
      <c r="H7">
        <v>188</v>
      </c>
      <c r="I7">
        <v>156.69999999999999</v>
      </c>
      <c r="J7">
        <v>162.30000000000001</v>
      </c>
      <c r="K7">
        <v>164.1</v>
      </c>
      <c r="L7">
        <v>119.7</v>
      </c>
      <c r="M7">
        <v>168.8</v>
      </c>
      <c r="N7">
        <v>162.69999999999999</v>
      </c>
      <c r="O7">
        <v>173.9</v>
      </c>
      <c r="P7">
        <v>164</v>
      </c>
      <c r="Q7">
        <v>192.1</v>
      </c>
      <c r="R7">
        <v>164.6</v>
      </c>
      <c r="S7">
        <v>155.30000000000001</v>
      </c>
      <c r="T7">
        <v>163.30000000000001</v>
      </c>
      <c r="U7">
        <v>162.1</v>
      </c>
      <c r="V7">
        <v>162.6</v>
      </c>
      <c r="W7">
        <v>157.5</v>
      </c>
      <c r="X7">
        <v>168.4</v>
      </c>
      <c r="Y7">
        <v>154</v>
      </c>
      <c r="Z7">
        <v>157.69999999999999</v>
      </c>
      <c r="AA7">
        <v>163.69999999999999</v>
      </c>
      <c r="AB7">
        <v>160</v>
      </c>
      <c r="AC7">
        <v>160</v>
      </c>
      <c r="AD7">
        <v>163.19999999999999</v>
      </c>
    </row>
    <row r="8" spans="1:30" ht="15.6" x14ac:dyDescent="0.3">
      <c r="A8" s="38">
        <v>2021</v>
      </c>
      <c r="B8" s="37">
        <v>33512</v>
      </c>
      <c r="C8" s="36">
        <v>82.107393785714294</v>
      </c>
      <c r="D8">
        <v>147.4</v>
      </c>
      <c r="E8">
        <v>204.6</v>
      </c>
      <c r="F8">
        <v>171.2</v>
      </c>
      <c r="G8">
        <v>158.69999999999999</v>
      </c>
      <c r="H8">
        <v>190.6</v>
      </c>
      <c r="I8">
        <v>155.69999999999999</v>
      </c>
      <c r="J8">
        <v>185.3</v>
      </c>
      <c r="K8">
        <v>165.2</v>
      </c>
      <c r="L8">
        <v>121.9</v>
      </c>
      <c r="M8">
        <v>169.3</v>
      </c>
      <c r="N8">
        <v>163.19999999999999</v>
      </c>
      <c r="O8">
        <v>174.7</v>
      </c>
      <c r="P8">
        <v>167.7</v>
      </c>
      <c r="Q8">
        <v>192.7</v>
      </c>
      <c r="R8">
        <v>165.7</v>
      </c>
      <c r="S8">
        <v>156.30000000000001</v>
      </c>
      <c r="T8">
        <v>164.3</v>
      </c>
      <c r="U8">
        <v>163.6</v>
      </c>
      <c r="V8">
        <v>164.2</v>
      </c>
      <c r="W8">
        <v>158.4</v>
      </c>
      <c r="X8">
        <v>169.1</v>
      </c>
      <c r="Y8">
        <v>155.69999999999999</v>
      </c>
      <c r="Z8">
        <v>158.6</v>
      </c>
      <c r="AA8">
        <v>163.9</v>
      </c>
      <c r="AB8">
        <v>160.80000000000001</v>
      </c>
      <c r="AC8">
        <v>161</v>
      </c>
      <c r="AD8">
        <v>165.5</v>
      </c>
    </row>
    <row r="9" spans="1:30" ht="15.6" x14ac:dyDescent="0.3">
      <c r="A9" s="38">
        <v>2021</v>
      </c>
      <c r="B9" s="37">
        <v>33543</v>
      </c>
      <c r="C9" s="36">
        <v>80.637301023809528</v>
      </c>
      <c r="D9">
        <v>148.19999999999999</v>
      </c>
      <c r="E9">
        <v>201.6</v>
      </c>
      <c r="F9">
        <v>173</v>
      </c>
      <c r="G9">
        <v>159.30000000000001</v>
      </c>
      <c r="H9">
        <v>190.1</v>
      </c>
      <c r="I9">
        <v>156.5</v>
      </c>
      <c r="J9">
        <v>199.2</v>
      </c>
      <c r="K9">
        <v>165.3</v>
      </c>
      <c r="L9">
        <v>122.4</v>
      </c>
      <c r="M9">
        <v>169.6</v>
      </c>
      <c r="N9">
        <v>163.69999999999999</v>
      </c>
      <c r="O9">
        <v>175.5</v>
      </c>
      <c r="P9">
        <v>169.7</v>
      </c>
      <c r="Q9">
        <v>192.9</v>
      </c>
      <c r="R9">
        <v>167.2</v>
      </c>
      <c r="S9">
        <v>157.4</v>
      </c>
      <c r="T9">
        <v>165.8</v>
      </c>
      <c r="U9">
        <v>164.2</v>
      </c>
      <c r="V9">
        <v>163.9</v>
      </c>
      <c r="W9">
        <v>159.30000000000001</v>
      </c>
      <c r="X9">
        <v>169.9</v>
      </c>
      <c r="Y9">
        <v>154.80000000000001</v>
      </c>
      <c r="Z9">
        <v>159.80000000000001</v>
      </c>
      <c r="AA9">
        <v>164.3</v>
      </c>
      <c r="AB9">
        <v>162.19999999999999</v>
      </c>
      <c r="AC9">
        <v>161.4</v>
      </c>
      <c r="AD9">
        <v>166.7</v>
      </c>
    </row>
    <row r="10" spans="1:30" ht="15.6" x14ac:dyDescent="0.3">
      <c r="A10" s="38">
        <v>2021</v>
      </c>
      <c r="B10" s="37">
        <v>33573</v>
      </c>
      <c r="C10" s="36">
        <v>73.298823523809531</v>
      </c>
      <c r="D10">
        <v>148.69999999999999</v>
      </c>
      <c r="E10">
        <v>198.8</v>
      </c>
      <c r="F10">
        <v>177.9</v>
      </c>
      <c r="G10">
        <v>159.9</v>
      </c>
      <c r="H10">
        <v>187.6</v>
      </c>
      <c r="I10">
        <v>154.9</v>
      </c>
      <c r="J10">
        <v>188.3</v>
      </c>
      <c r="K10">
        <v>164.4</v>
      </c>
      <c r="L10">
        <v>121</v>
      </c>
      <c r="M10">
        <v>170.5</v>
      </c>
      <c r="N10">
        <v>164.2</v>
      </c>
      <c r="O10">
        <v>176.5</v>
      </c>
      <c r="P10">
        <v>168.2</v>
      </c>
      <c r="Q10">
        <v>192.4</v>
      </c>
      <c r="R10">
        <v>168.5</v>
      </c>
      <c r="S10">
        <v>158.69999999999999</v>
      </c>
      <c r="T10">
        <v>167</v>
      </c>
      <c r="U10">
        <v>163.4</v>
      </c>
      <c r="V10">
        <v>164.1</v>
      </c>
      <c r="W10">
        <v>160.19999999999999</v>
      </c>
      <c r="X10">
        <v>170.6</v>
      </c>
      <c r="Y10">
        <v>155.69999999999999</v>
      </c>
      <c r="Z10">
        <v>160.6</v>
      </c>
      <c r="AA10">
        <v>164.4</v>
      </c>
      <c r="AB10">
        <v>162.6</v>
      </c>
      <c r="AC10">
        <v>162</v>
      </c>
      <c r="AD10">
        <v>166.2</v>
      </c>
    </row>
    <row r="11" spans="1:30" ht="15.6" x14ac:dyDescent="0.3">
      <c r="A11" s="38">
        <v>2022</v>
      </c>
      <c r="B11" s="37">
        <v>33604</v>
      </c>
      <c r="C11" s="36">
        <v>84.666318799999985</v>
      </c>
      <c r="D11">
        <v>149.5</v>
      </c>
      <c r="E11">
        <v>198.7</v>
      </c>
      <c r="F11">
        <v>178.8</v>
      </c>
      <c r="G11">
        <v>160.5</v>
      </c>
      <c r="H11">
        <v>184.7</v>
      </c>
      <c r="I11">
        <v>153.69999999999999</v>
      </c>
      <c r="J11">
        <v>174.3</v>
      </c>
      <c r="K11">
        <v>163.9</v>
      </c>
      <c r="L11">
        <v>120</v>
      </c>
      <c r="M11">
        <v>172.1</v>
      </c>
      <c r="N11">
        <v>164.3</v>
      </c>
      <c r="O11">
        <v>177.3</v>
      </c>
      <c r="P11">
        <v>166.4</v>
      </c>
      <c r="Q11">
        <v>192.2</v>
      </c>
      <c r="R11">
        <v>169.9</v>
      </c>
      <c r="S11">
        <v>160.69999999999999</v>
      </c>
      <c r="T11">
        <v>168.5</v>
      </c>
      <c r="U11">
        <v>164.5</v>
      </c>
      <c r="V11">
        <v>164.2</v>
      </c>
      <c r="W11">
        <v>161.1</v>
      </c>
      <c r="X11">
        <v>171.4</v>
      </c>
      <c r="Y11">
        <v>156.5</v>
      </c>
      <c r="Z11">
        <v>161.19999999999999</v>
      </c>
      <c r="AA11">
        <v>164.7</v>
      </c>
      <c r="AB11">
        <v>163</v>
      </c>
      <c r="AC11">
        <v>162.69999999999999</v>
      </c>
      <c r="AD11">
        <v>165.7</v>
      </c>
    </row>
    <row r="12" spans="1:30" ht="15.6" x14ac:dyDescent="0.3">
      <c r="A12" s="38">
        <v>2022</v>
      </c>
      <c r="B12" s="37">
        <v>33635</v>
      </c>
      <c r="C12" s="36">
        <v>94.067715194444446</v>
      </c>
      <c r="D12">
        <v>150</v>
      </c>
      <c r="E12">
        <v>200.6</v>
      </c>
      <c r="F12">
        <v>175.8</v>
      </c>
      <c r="G12">
        <v>160.69999999999999</v>
      </c>
      <c r="H12">
        <v>184.9</v>
      </c>
      <c r="I12">
        <v>153.69999999999999</v>
      </c>
      <c r="J12">
        <v>169.7</v>
      </c>
      <c r="K12">
        <v>163.69999999999999</v>
      </c>
      <c r="L12">
        <v>118.9</v>
      </c>
      <c r="M12">
        <v>174.3</v>
      </c>
      <c r="N12">
        <v>164.7</v>
      </c>
      <c r="O12">
        <v>178</v>
      </c>
      <c r="P12">
        <v>166.2</v>
      </c>
      <c r="Q12">
        <v>192.8</v>
      </c>
      <c r="R12">
        <v>170.8</v>
      </c>
      <c r="S12">
        <v>162.4</v>
      </c>
      <c r="T12">
        <v>169.6</v>
      </c>
      <c r="U12">
        <v>165.5</v>
      </c>
      <c r="V12">
        <v>165.7</v>
      </c>
      <c r="W12">
        <v>161.80000000000001</v>
      </c>
      <c r="X12">
        <v>172.2</v>
      </c>
      <c r="Y12">
        <v>156.9</v>
      </c>
      <c r="Z12">
        <v>162.1</v>
      </c>
      <c r="AA12">
        <v>165.4</v>
      </c>
      <c r="AB12">
        <v>164.4</v>
      </c>
      <c r="AC12">
        <v>163.5</v>
      </c>
      <c r="AD12">
        <v>166.1</v>
      </c>
    </row>
    <row r="13" spans="1:30" ht="15.6" x14ac:dyDescent="0.3">
      <c r="A13" s="38">
        <v>2022</v>
      </c>
      <c r="B13" s="37">
        <v>33664</v>
      </c>
      <c r="C13" s="36">
        <v>112.87479254347826</v>
      </c>
      <c r="D13">
        <v>151.30000000000001</v>
      </c>
      <c r="E13">
        <v>210.7</v>
      </c>
      <c r="F13">
        <v>167.8</v>
      </c>
      <c r="G13">
        <v>162.19999999999999</v>
      </c>
      <c r="H13">
        <v>194.6</v>
      </c>
      <c r="I13">
        <v>157.6</v>
      </c>
      <c r="J13">
        <v>166.9</v>
      </c>
      <c r="K13">
        <v>163.9</v>
      </c>
      <c r="L13">
        <v>118.8</v>
      </c>
      <c r="M13">
        <v>177.4</v>
      </c>
      <c r="N13">
        <v>165.3</v>
      </c>
      <c r="O13">
        <v>179.3</v>
      </c>
      <c r="P13">
        <v>168.4</v>
      </c>
      <c r="Q13">
        <v>193.7</v>
      </c>
      <c r="R13">
        <v>172.1</v>
      </c>
      <c r="S13">
        <v>164.6</v>
      </c>
      <c r="T13">
        <v>171.1</v>
      </c>
      <c r="U13">
        <v>165.3</v>
      </c>
      <c r="V13">
        <v>167.2</v>
      </c>
      <c r="W13">
        <v>162.80000000000001</v>
      </c>
      <c r="X13">
        <v>173</v>
      </c>
      <c r="Y13">
        <v>157.9</v>
      </c>
      <c r="Z13">
        <v>163.30000000000001</v>
      </c>
      <c r="AA13">
        <v>166</v>
      </c>
      <c r="AB13">
        <v>167.2</v>
      </c>
      <c r="AC13">
        <v>164.6</v>
      </c>
      <c r="AD13">
        <v>167.7</v>
      </c>
    </row>
    <row r="14" spans="1:30" ht="15.6" x14ac:dyDescent="0.3">
      <c r="A14" s="38">
        <v>2022</v>
      </c>
      <c r="B14" s="37">
        <v>33329</v>
      </c>
      <c r="C14" s="36">
        <v>102.96599786842103</v>
      </c>
      <c r="D14">
        <v>152.9</v>
      </c>
      <c r="E14">
        <v>211.8</v>
      </c>
      <c r="F14">
        <v>164.5</v>
      </c>
      <c r="G14">
        <v>163.9</v>
      </c>
      <c r="H14">
        <v>199.5</v>
      </c>
      <c r="I14">
        <v>172.6</v>
      </c>
      <c r="J14">
        <v>166.2</v>
      </c>
      <c r="K14">
        <v>164.7</v>
      </c>
      <c r="L14">
        <v>119</v>
      </c>
      <c r="M14">
        <v>181.3</v>
      </c>
      <c r="N14">
        <v>166.2</v>
      </c>
      <c r="O14">
        <v>180.9</v>
      </c>
      <c r="P14">
        <v>170.8</v>
      </c>
      <c r="Q14">
        <v>193.9</v>
      </c>
      <c r="R14">
        <v>173.9</v>
      </c>
      <c r="S14">
        <v>166.5</v>
      </c>
      <c r="T14">
        <v>172.8</v>
      </c>
      <c r="U14">
        <v>167</v>
      </c>
      <c r="V14">
        <v>172.2</v>
      </c>
      <c r="W14">
        <v>164</v>
      </c>
      <c r="X14">
        <v>174</v>
      </c>
      <c r="Y14">
        <v>162.6</v>
      </c>
      <c r="Z14">
        <v>164.4</v>
      </c>
      <c r="AA14">
        <v>166.9</v>
      </c>
      <c r="AB14">
        <v>168.8</v>
      </c>
      <c r="AC14">
        <v>166.8</v>
      </c>
      <c r="AD14">
        <v>170.1</v>
      </c>
    </row>
    <row r="15" spans="1:30" ht="15.6" x14ac:dyDescent="0.3">
      <c r="A15" s="38">
        <v>2022</v>
      </c>
      <c r="B15" s="37">
        <v>33359</v>
      </c>
      <c r="C15" s="36">
        <v>109.50503773684208</v>
      </c>
      <c r="D15">
        <v>154.1</v>
      </c>
      <c r="E15">
        <v>217</v>
      </c>
      <c r="F15">
        <v>162.4</v>
      </c>
      <c r="G15">
        <v>164.9</v>
      </c>
      <c r="H15">
        <v>202.4</v>
      </c>
      <c r="I15">
        <v>171</v>
      </c>
      <c r="J15">
        <v>174.9</v>
      </c>
      <c r="K15">
        <v>164.7</v>
      </c>
      <c r="L15">
        <v>119.7</v>
      </c>
      <c r="M15">
        <v>184.9</v>
      </c>
      <c r="N15">
        <v>167.1</v>
      </c>
      <c r="O15">
        <v>182.5</v>
      </c>
      <c r="P15">
        <v>173.3</v>
      </c>
      <c r="Q15">
        <v>194.1</v>
      </c>
      <c r="R15">
        <v>175.6</v>
      </c>
      <c r="S15">
        <v>168.4</v>
      </c>
      <c r="T15">
        <v>174.6</v>
      </c>
      <c r="U15">
        <v>167.5</v>
      </c>
      <c r="V15">
        <v>174.6</v>
      </c>
      <c r="W15">
        <v>165.2</v>
      </c>
      <c r="X15">
        <v>174.8</v>
      </c>
      <c r="Y15">
        <v>163</v>
      </c>
      <c r="Z15">
        <v>165.1</v>
      </c>
      <c r="AA15">
        <v>167.9</v>
      </c>
      <c r="AB15">
        <v>168.4</v>
      </c>
      <c r="AC15">
        <v>167.5</v>
      </c>
      <c r="AD15">
        <v>171.7</v>
      </c>
    </row>
    <row r="16" spans="1:30" ht="15.6" x14ac:dyDescent="0.3">
      <c r="A16" s="38">
        <v>2022</v>
      </c>
      <c r="B16" s="37">
        <v>33390</v>
      </c>
      <c r="C16" s="36">
        <v>116.01138504999999</v>
      </c>
      <c r="D16">
        <v>155</v>
      </c>
      <c r="E16">
        <v>219.4</v>
      </c>
      <c r="F16">
        <v>170.8</v>
      </c>
      <c r="G16">
        <v>165.8</v>
      </c>
      <c r="H16">
        <v>200.9</v>
      </c>
      <c r="I16">
        <v>169.7</v>
      </c>
      <c r="J16">
        <v>182.3</v>
      </c>
      <c r="K16">
        <v>164.3</v>
      </c>
      <c r="L16">
        <v>119.9</v>
      </c>
      <c r="M16">
        <v>187.1</v>
      </c>
      <c r="N16">
        <v>167.9</v>
      </c>
      <c r="O16">
        <v>183.9</v>
      </c>
      <c r="P16">
        <v>174.9</v>
      </c>
      <c r="Q16">
        <v>194.3</v>
      </c>
      <c r="R16">
        <v>177.1</v>
      </c>
      <c r="S16">
        <v>169.9</v>
      </c>
      <c r="T16">
        <v>176</v>
      </c>
      <c r="U16">
        <v>166.8</v>
      </c>
      <c r="V16">
        <v>176</v>
      </c>
      <c r="W16">
        <v>166.4</v>
      </c>
      <c r="X16">
        <v>175.4</v>
      </c>
      <c r="Y16">
        <v>161.1</v>
      </c>
      <c r="Z16">
        <v>165.8</v>
      </c>
      <c r="AA16">
        <v>169</v>
      </c>
      <c r="AB16">
        <v>169.4</v>
      </c>
      <c r="AC16">
        <v>167.5</v>
      </c>
      <c r="AD16">
        <v>172.6</v>
      </c>
    </row>
    <row r="17" spans="1:30" ht="15.6" x14ac:dyDescent="0.3">
      <c r="A17" s="38">
        <v>2022</v>
      </c>
      <c r="B17" s="37">
        <v>33420</v>
      </c>
      <c r="C17" s="36">
        <v>105.49124737500001</v>
      </c>
      <c r="D17">
        <v>156.5</v>
      </c>
      <c r="E17">
        <v>213</v>
      </c>
      <c r="F17">
        <v>175.2</v>
      </c>
      <c r="G17">
        <v>166.6</v>
      </c>
      <c r="H17">
        <v>195.8</v>
      </c>
      <c r="I17">
        <v>174.2</v>
      </c>
      <c r="J17">
        <v>182.1</v>
      </c>
      <c r="K17">
        <v>164.3</v>
      </c>
      <c r="L17">
        <v>120</v>
      </c>
      <c r="M17">
        <v>190</v>
      </c>
      <c r="N17">
        <v>168.4</v>
      </c>
      <c r="O17">
        <v>185.2</v>
      </c>
      <c r="P17">
        <v>175</v>
      </c>
      <c r="Q17">
        <v>194.6</v>
      </c>
      <c r="R17">
        <v>178.3</v>
      </c>
      <c r="S17">
        <v>171.3</v>
      </c>
      <c r="T17">
        <v>177.3</v>
      </c>
      <c r="U17">
        <v>167.8</v>
      </c>
      <c r="V17">
        <v>179.6</v>
      </c>
      <c r="W17">
        <v>167.4</v>
      </c>
      <c r="X17">
        <v>176.1</v>
      </c>
      <c r="Y17">
        <v>161.6</v>
      </c>
      <c r="Z17">
        <v>166.3</v>
      </c>
      <c r="AA17">
        <v>171.4</v>
      </c>
      <c r="AB17">
        <v>169.7</v>
      </c>
      <c r="AC17">
        <v>168.4</v>
      </c>
      <c r="AD17">
        <v>173.4</v>
      </c>
    </row>
    <row r="18" spans="1:30" ht="15.6" x14ac:dyDescent="0.3">
      <c r="A18" s="38">
        <v>2022</v>
      </c>
      <c r="B18" s="37">
        <v>33451</v>
      </c>
      <c r="C18" s="36">
        <v>97.404465428571427</v>
      </c>
      <c r="D18">
        <v>160.30000000000001</v>
      </c>
      <c r="E18">
        <v>206.5</v>
      </c>
      <c r="F18">
        <v>169.2</v>
      </c>
      <c r="G18">
        <v>168.1</v>
      </c>
      <c r="H18">
        <v>192.4</v>
      </c>
      <c r="I18">
        <v>172.9</v>
      </c>
      <c r="J18">
        <v>186.7</v>
      </c>
      <c r="K18">
        <v>167.2</v>
      </c>
      <c r="L18">
        <v>120.9</v>
      </c>
      <c r="M18">
        <v>193.6</v>
      </c>
      <c r="N18">
        <v>168.8</v>
      </c>
      <c r="O18">
        <v>186.3</v>
      </c>
      <c r="P18">
        <v>176.3</v>
      </c>
      <c r="Q18">
        <v>195</v>
      </c>
      <c r="R18">
        <v>179.5</v>
      </c>
      <c r="S18">
        <v>172.7</v>
      </c>
      <c r="T18">
        <v>178.5</v>
      </c>
      <c r="U18">
        <v>169</v>
      </c>
      <c r="V18">
        <v>178.8</v>
      </c>
      <c r="W18">
        <v>168.5</v>
      </c>
      <c r="X18">
        <v>176.8</v>
      </c>
      <c r="Y18">
        <v>161.9</v>
      </c>
      <c r="Z18">
        <v>166.9</v>
      </c>
      <c r="AA18">
        <v>172.3</v>
      </c>
      <c r="AB18">
        <v>171.2</v>
      </c>
      <c r="AC18">
        <v>169.1</v>
      </c>
      <c r="AD18">
        <v>174.3</v>
      </c>
    </row>
    <row r="19" spans="1:30" ht="15.6" x14ac:dyDescent="0.3">
      <c r="A19" s="38">
        <v>2022</v>
      </c>
      <c r="B19" s="37">
        <v>33482</v>
      </c>
      <c r="C19" s="36">
        <v>90.706344809523813</v>
      </c>
      <c r="D19">
        <v>163.5</v>
      </c>
      <c r="E19">
        <v>209.2</v>
      </c>
      <c r="F19">
        <v>169.7</v>
      </c>
      <c r="G19">
        <v>169.7</v>
      </c>
      <c r="H19">
        <v>188.7</v>
      </c>
      <c r="I19">
        <v>165.7</v>
      </c>
      <c r="J19">
        <v>191.8</v>
      </c>
      <c r="K19">
        <v>169.1</v>
      </c>
      <c r="L19">
        <v>121.6</v>
      </c>
      <c r="M19">
        <v>197.3</v>
      </c>
      <c r="N19">
        <v>169.4</v>
      </c>
      <c r="O19">
        <v>187.4</v>
      </c>
      <c r="P19">
        <v>177.8</v>
      </c>
      <c r="Q19">
        <v>195.9</v>
      </c>
      <c r="R19">
        <v>180.9</v>
      </c>
      <c r="S19">
        <v>174.3</v>
      </c>
      <c r="T19">
        <v>179.9</v>
      </c>
      <c r="U19">
        <v>169.5</v>
      </c>
      <c r="V19">
        <v>179.5</v>
      </c>
      <c r="W19">
        <v>169.5</v>
      </c>
      <c r="X19">
        <v>177.8</v>
      </c>
      <c r="Y19">
        <v>162.30000000000001</v>
      </c>
      <c r="Z19">
        <v>167.6</v>
      </c>
      <c r="AA19">
        <v>173.1</v>
      </c>
      <c r="AB19">
        <v>170.9</v>
      </c>
      <c r="AC19">
        <v>169.7</v>
      </c>
      <c r="AD19">
        <v>175.3</v>
      </c>
    </row>
    <row r="20" spans="1:30" ht="15.6" x14ac:dyDescent="0.3">
      <c r="A20" s="38">
        <v>2022</v>
      </c>
      <c r="B20" s="37">
        <v>33512</v>
      </c>
      <c r="C20" s="36">
        <v>91.698948700000003</v>
      </c>
      <c r="D20">
        <v>165.2</v>
      </c>
      <c r="E20">
        <v>210.9</v>
      </c>
      <c r="F20">
        <v>170.9</v>
      </c>
      <c r="G20">
        <v>170.9</v>
      </c>
      <c r="H20">
        <v>186.5</v>
      </c>
      <c r="I20">
        <v>163.80000000000001</v>
      </c>
      <c r="J20">
        <v>199.7</v>
      </c>
      <c r="K20">
        <v>169.8</v>
      </c>
      <c r="L20">
        <v>121.9</v>
      </c>
      <c r="M20">
        <v>199.9</v>
      </c>
      <c r="N20">
        <v>169.9</v>
      </c>
      <c r="O20">
        <v>188.3</v>
      </c>
      <c r="P20">
        <v>179.6</v>
      </c>
      <c r="Q20">
        <v>196.3</v>
      </c>
      <c r="R20">
        <v>181.9</v>
      </c>
      <c r="S20">
        <v>175.3</v>
      </c>
      <c r="T20">
        <v>181</v>
      </c>
      <c r="U20">
        <v>171.2</v>
      </c>
      <c r="V20">
        <v>180.5</v>
      </c>
      <c r="W20">
        <v>170.4</v>
      </c>
      <c r="X20">
        <v>178.7</v>
      </c>
      <c r="Y20">
        <v>162.9</v>
      </c>
      <c r="Z20">
        <v>168.2</v>
      </c>
      <c r="AA20">
        <v>173.4</v>
      </c>
      <c r="AB20">
        <v>172.1</v>
      </c>
      <c r="AC20">
        <v>170.5</v>
      </c>
      <c r="AD20">
        <v>176.7</v>
      </c>
    </row>
    <row r="21" spans="1:30" ht="15.6" x14ac:dyDescent="0.3">
      <c r="A21" s="38">
        <v>2022</v>
      </c>
      <c r="B21" s="37">
        <v>33543</v>
      </c>
      <c r="C21" s="36">
        <v>87.552266068181822</v>
      </c>
      <c r="D21">
        <v>167.4</v>
      </c>
      <c r="E21">
        <v>209.4</v>
      </c>
      <c r="F21">
        <v>181.4</v>
      </c>
      <c r="G21">
        <v>172.3</v>
      </c>
      <c r="H21">
        <v>188.9</v>
      </c>
      <c r="I21">
        <v>160.69999999999999</v>
      </c>
      <c r="J21">
        <v>183.1</v>
      </c>
      <c r="K21">
        <v>170.5</v>
      </c>
      <c r="L21">
        <v>122.1</v>
      </c>
      <c r="M21">
        <v>202.8</v>
      </c>
      <c r="N21">
        <v>170.4</v>
      </c>
      <c r="O21">
        <v>189.5</v>
      </c>
      <c r="P21">
        <v>178.3</v>
      </c>
      <c r="Q21">
        <v>196.9</v>
      </c>
      <c r="R21">
        <v>183.1</v>
      </c>
      <c r="S21">
        <v>176.2</v>
      </c>
      <c r="T21">
        <v>182.1</v>
      </c>
      <c r="U21">
        <v>171.8</v>
      </c>
      <c r="V21">
        <v>181.3</v>
      </c>
      <c r="W21">
        <v>171.4</v>
      </c>
      <c r="X21">
        <v>179.8</v>
      </c>
      <c r="Y21">
        <v>163</v>
      </c>
      <c r="Z21">
        <v>168.5</v>
      </c>
      <c r="AA21">
        <v>173.7</v>
      </c>
      <c r="AB21">
        <v>173.6</v>
      </c>
      <c r="AC21">
        <v>171.1</v>
      </c>
      <c r="AD21">
        <v>176.5</v>
      </c>
    </row>
    <row r="22" spans="1:30" ht="15.6" x14ac:dyDescent="0.3">
      <c r="A22" s="38">
        <v>2022</v>
      </c>
      <c r="B22" s="37">
        <v>33573</v>
      </c>
      <c r="C22" s="36">
        <v>78.100942275000008</v>
      </c>
      <c r="D22">
        <v>169.2</v>
      </c>
      <c r="E22">
        <v>209</v>
      </c>
      <c r="F22">
        <v>190.2</v>
      </c>
      <c r="G22">
        <v>173.6</v>
      </c>
      <c r="H22">
        <v>188.5</v>
      </c>
      <c r="I22">
        <v>158</v>
      </c>
      <c r="J22">
        <v>159.9</v>
      </c>
      <c r="K22">
        <v>170.8</v>
      </c>
      <c r="L22">
        <v>121.8</v>
      </c>
      <c r="M22">
        <v>205.2</v>
      </c>
      <c r="N22">
        <v>171</v>
      </c>
      <c r="O22">
        <v>190.3</v>
      </c>
      <c r="P22">
        <v>175.9</v>
      </c>
      <c r="Q22">
        <v>197.3</v>
      </c>
      <c r="R22">
        <v>184</v>
      </c>
      <c r="S22">
        <v>177</v>
      </c>
      <c r="T22">
        <v>183</v>
      </c>
      <c r="U22">
        <v>170.7</v>
      </c>
      <c r="V22">
        <v>182</v>
      </c>
      <c r="W22">
        <v>172.1</v>
      </c>
      <c r="X22">
        <v>181.1</v>
      </c>
      <c r="Y22">
        <v>163.4</v>
      </c>
      <c r="Z22">
        <v>168.9</v>
      </c>
      <c r="AA22">
        <v>174.1</v>
      </c>
      <c r="AB22">
        <v>175.8</v>
      </c>
      <c r="AC22">
        <v>172</v>
      </c>
      <c r="AD22">
        <v>175.7</v>
      </c>
    </row>
    <row r="23" spans="1:30" ht="15.6" x14ac:dyDescent="0.3">
      <c r="A23" s="38">
        <v>2023</v>
      </c>
      <c r="B23" s="37">
        <v>33604</v>
      </c>
      <c r="C23" s="36">
        <v>80.922269684210534</v>
      </c>
      <c r="D23">
        <v>173.8</v>
      </c>
      <c r="E23">
        <v>210.7</v>
      </c>
      <c r="F23">
        <v>194.5</v>
      </c>
      <c r="G23">
        <v>174.6</v>
      </c>
      <c r="H23">
        <v>187.2</v>
      </c>
      <c r="I23">
        <v>158.30000000000001</v>
      </c>
      <c r="J23">
        <v>153.9</v>
      </c>
      <c r="K23">
        <v>170.9</v>
      </c>
      <c r="L23">
        <v>121.1</v>
      </c>
      <c r="M23">
        <v>208.4</v>
      </c>
      <c r="N23">
        <v>171.4</v>
      </c>
      <c r="O23">
        <v>191.2</v>
      </c>
      <c r="P23">
        <v>176.7</v>
      </c>
      <c r="Q23">
        <v>198.2</v>
      </c>
      <c r="R23">
        <v>184.9</v>
      </c>
      <c r="S23">
        <v>177.6</v>
      </c>
      <c r="T23">
        <v>183.8</v>
      </c>
      <c r="U23">
        <v>172.1</v>
      </c>
      <c r="V23">
        <v>182</v>
      </c>
      <c r="W23">
        <v>172.9</v>
      </c>
      <c r="X23">
        <v>182.3</v>
      </c>
      <c r="Y23">
        <v>163.6</v>
      </c>
      <c r="Z23">
        <v>169.5</v>
      </c>
      <c r="AA23">
        <v>174.3</v>
      </c>
      <c r="AB23">
        <v>178.6</v>
      </c>
      <c r="AC23">
        <v>172.8</v>
      </c>
      <c r="AD23">
        <v>176.5</v>
      </c>
    </row>
    <row r="24" spans="1:30" ht="15.6" x14ac:dyDescent="0.3">
      <c r="A24" s="38">
        <v>2023</v>
      </c>
      <c r="B24" s="37">
        <v>33635</v>
      </c>
      <c r="C24" s="36">
        <v>82.278706675000009</v>
      </c>
      <c r="D24">
        <v>174.4</v>
      </c>
      <c r="E24">
        <v>207.7</v>
      </c>
      <c r="F24">
        <v>175.2</v>
      </c>
      <c r="G24">
        <v>177.3</v>
      </c>
      <c r="H24">
        <v>179.3</v>
      </c>
      <c r="I24">
        <v>169.5</v>
      </c>
      <c r="J24">
        <v>152.69999999999999</v>
      </c>
      <c r="K24">
        <v>171</v>
      </c>
      <c r="L24">
        <v>120</v>
      </c>
      <c r="M24">
        <v>209.7</v>
      </c>
      <c r="N24">
        <v>172.3</v>
      </c>
      <c r="O24">
        <v>193</v>
      </c>
      <c r="P24">
        <v>177</v>
      </c>
      <c r="Q24">
        <v>199.5</v>
      </c>
      <c r="R24">
        <v>186.2</v>
      </c>
      <c r="S24">
        <v>178.7</v>
      </c>
      <c r="T24">
        <v>185.1</v>
      </c>
      <c r="U24">
        <v>173.5</v>
      </c>
      <c r="V24">
        <v>182.1</v>
      </c>
      <c r="W24">
        <v>174.2</v>
      </c>
      <c r="X24">
        <v>184.4</v>
      </c>
      <c r="Y24">
        <v>164.2</v>
      </c>
      <c r="Z24">
        <v>170.3</v>
      </c>
      <c r="AA24">
        <v>175</v>
      </c>
      <c r="AB24">
        <v>181</v>
      </c>
      <c r="AC24">
        <v>174.1</v>
      </c>
      <c r="AD24">
        <v>177.2</v>
      </c>
    </row>
    <row r="25" spans="1:30" ht="15.6" x14ac:dyDescent="0.3">
      <c r="A25" s="38">
        <v>2023</v>
      </c>
      <c r="B25" s="37">
        <v>33664</v>
      </c>
      <c r="C25" s="36">
        <v>78.539480282608693</v>
      </c>
      <c r="D25">
        <v>174.4</v>
      </c>
      <c r="E25">
        <v>207.7</v>
      </c>
      <c r="F25">
        <v>175.2</v>
      </c>
      <c r="G25">
        <v>177.3</v>
      </c>
      <c r="H25">
        <v>179.2</v>
      </c>
      <c r="I25">
        <v>169.5</v>
      </c>
      <c r="J25">
        <v>152.80000000000001</v>
      </c>
      <c r="K25">
        <v>171.1</v>
      </c>
      <c r="L25">
        <v>120</v>
      </c>
      <c r="M25">
        <v>209.7</v>
      </c>
      <c r="N25">
        <v>172.3</v>
      </c>
      <c r="O25">
        <v>193</v>
      </c>
      <c r="P25">
        <v>177</v>
      </c>
      <c r="Q25">
        <v>199.5</v>
      </c>
      <c r="R25">
        <v>186.1</v>
      </c>
      <c r="S25">
        <v>178.7</v>
      </c>
      <c r="T25">
        <v>185.1</v>
      </c>
      <c r="U25">
        <v>173.5</v>
      </c>
      <c r="V25">
        <v>181.9</v>
      </c>
      <c r="W25">
        <v>174.2</v>
      </c>
      <c r="X25">
        <v>184.4</v>
      </c>
      <c r="Y25">
        <v>164.2</v>
      </c>
      <c r="Z25">
        <v>170.3</v>
      </c>
      <c r="AA25">
        <v>175</v>
      </c>
      <c r="AB25">
        <v>181</v>
      </c>
      <c r="AC25">
        <v>174.1</v>
      </c>
      <c r="AD25">
        <v>177.2</v>
      </c>
    </row>
    <row r="26" spans="1:30" ht="15.6" x14ac:dyDescent="0.3">
      <c r="A26" s="38">
        <v>2023</v>
      </c>
      <c r="B26" s="37">
        <v>33329</v>
      </c>
      <c r="C26" s="36">
        <v>83.755358416666667</v>
      </c>
      <c r="D26">
        <v>173.8</v>
      </c>
      <c r="E26">
        <v>209.3</v>
      </c>
      <c r="F26">
        <v>169.6</v>
      </c>
      <c r="G26">
        <v>178.4</v>
      </c>
      <c r="H26">
        <v>174.9</v>
      </c>
      <c r="I26">
        <v>176.3</v>
      </c>
      <c r="J26">
        <v>155.4</v>
      </c>
      <c r="K26">
        <v>173.4</v>
      </c>
      <c r="L26">
        <v>121.3</v>
      </c>
      <c r="M26">
        <v>212.9</v>
      </c>
      <c r="N26">
        <v>172.9</v>
      </c>
      <c r="O26">
        <v>193.5</v>
      </c>
      <c r="P26">
        <v>177.9</v>
      </c>
      <c r="Q26">
        <v>200.6</v>
      </c>
      <c r="R26">
        <v>186.9</v>
      </c>
      <c r="S26">
        <v>179.2</v>
      </c>
      <c r="T26">
        <v>185.7</v>
      </c>
      <c r="U26">
        <v>175.2</v>
      </c>
      <c r="V26">
        <v>181.7</v>
      </c>
      <c r="W26">
        <v>174.6</v>
      </c>
      <c r="X26">
        <v>185</v>
      </c>
      <c r="Y26">
        <v>164.5</v>
      </c>
      <c r="Z26">
        <v>170.7</v>
      </c>
      <c r="AA26">
        <v>176.4</v>
      </c>
      <c r="AB26">
        <v>184</v>
      </c>
      <c r="AC26">
        <v>175</v>
      </c>
      <c r="AD26">
        <v>178.1</v>
      </c>
    </row>
    <row r="27" spans="1:30" ht="15.6" x14ac:dyDescent="0.3">
      <c r="A27" s="42">
        <v>2023</v>
      </c>
      <c r="B27" s="43">
        <v>33359</v>
      </c>
      <c r="C27" s="44">
        <v>74.981547824999993</v>
      </c>
      <c r="D27">
        <v>173.7</v>
      </c>
      <c r="E27">
        <v>214.3</v>
      </c>
      <c r="F27">
        <v>173.2</v>
      </c>
      <c r="G27">
        <v>179.5</v>
      </c>
      <c r="H27">
        <v>170</v>
      </c>
      <c r="I27">
        <v>172.2</v>
      </c>
      <c r="J27">
        <v>161</v>
      </c>
      <c r="K27">
        <v>175.6</v>
      </c>
      <c r="L27">
        <v>122.7</v>
      </c>
      <c r="M27">
        <v>218</v>
      </c>
      <c r="N27">
        <v>173.4</v>
      </c>
      <c r="O27">
        <v>194.2</v>
      </c>
      <c r="P27">
        <v>179.1</v>
      </c>
      <c r="Q27">
        <v>201</v>
      </c>
      <c r="R27">
        <v>187.3</v>
      </c>
      <c r="S27">
        <v>179.7</v>
      </c>
      <c r="T27">
        <v>186.2</v>
      </c>
      <c r="U27">
        <v>175.6</v>
      </c>
      <c r="V27">
        <v>182.8</v>
      </c>
      <c r="W27">
        <v>175.2</v>
      </c>
      <c r="X27">
        <v>185.7</v>
      </c>
      <c r="Y27">
        <v>164.8</v>
      </c>
      <c r="Z27">
        <v>171.2</v>
      </c>
      <c r="AA27">
        <v>177.1</v>
      </c>
      <c r="AB27">
        <v>185.2</v>
      </c>
      <c r="AC27">
        <v>175.7</v>
      </c>
      <c r="AD27">
        <v>179.1</v>
      </c>
    </row>
    <row r="28" spans="1:30" ht="15.6" x14ac:dyDescent="0.3">
      <c r="B28" s="46"/>
      <c r="C28" s="45"/>
    </row>
    <row r="29" spans="1:30" ht="15.6" x14ac:dyDescent="0.3">
      <c r="B29" s="46"/>
      <c r="C29" s="45"/>
    </row>
    <row r="30" spans="1:30" ht="15.6" x14ac:dyDescent="0.3">
      <c r="B30" s="46"/>
      <c r="C30" s="45"/>
    </row>
    <row r="31" spans="1:30" ht="15.6" x14ac:dyDescent="0.3">
      <c r="B31" s="46"/>
      <c r="C31" s="45"/>
      <c r="E31" s="48" t="s">
        <v>128</v>
      </c>
      <c r="F31" s="48"/>
      <c r="G31" s="48"/>
      <c r="H31" s="49"/>
    </row>
    <row r="32" spans="1:30" ht="15.6" x14ac:dyDescent="0.3">
      <c r="B32" s="46"/>
      <c r="C32" s="45"/>
      <c r="E32" s="47" t="s">
        <v>3</v>
      </c>
      <c r="F32" s="47"/>
      <c r="G32" s="47"/>
      <c r="H32" s="38">
        <f>CORREL(C2:C27,D2:D27)</f>
        <v>9.8634814329868925E-2</v>
      </c>
    </row>
    <row r="33" spans="2:18" ht="15.6" x14ac:dyDescent="0.3">
      <c r="B33" s="46"/>
      <c r="C33" s="45"/>
      <c r="E33" s="47" t="s">
        <v>4</v>
      </c>
      <c r="F33" s="47"/>
      <c r="G33" s="47"/>
      <c r="H33" s="38">
        <f>CORREL(C2:C27,E2:E27)</f>
        <v>0.67992538398614677</v>
      </c>
    </row>
    <row r="34" spans="2:18" ht="15.6" x14ac:dyDescent="0.3">
      <c r="B34" s="46"/>
      <c r="C34" s="45"/>
      <c r="E34" s="47" t="s">
        <v>5</v>
      </c>
      <c r="F34" s="47"/>
      <c r="G34" s="47"/>
      <c r="H34" s="38">
        <f>CORREL(C2:C27,F2:F27)</f>
        <v>-0.3315438046505565</v>
      </c>
    </row>
    <row r="35" spans="2:18" ht="15.6" x14ac:dyDescent="0.3">
      <c r="B35" s="46"/>
      <c r="C35" s="45"/>
      <c r="E35" s="47" t="s">
        <v>6</v>
      </c>
      <c r="F35" s="47"/>
      <c r="G35" s="47"/>
      <c r="H35" s="38">
        <f>CORREL(C2:C27,G2:G27)</f>
        <v>0.18126116174418991</v>
      </c>
    </row>
    <row r="36" spans="2:18" ht="15.6" x14ac:dyDescent="0.3">
      <c r="B36" s="46"/>
      <c r="C36" s="45"/>
      <c r="E36" s="47" t="s">
        <v>7</v>
      </c>
      <c r="F36" s="47"/>
      <c r="G36" s="47"/>
      <c r="H36" s="38">
        <f>CORREL(C2:C27,H2:H27)</f>
        <v>0.75879920089049413</v>
      </c>
      <c r="K36" s="20" t="s">
        <v>92</v>
      </c>
      <c r="L36" s="30" t="s">
        <v>129</v>
      </c>
      <c r="M36" s="21"/>
      <c r="N36" s="21"/>
      <c r="O36" s="21"/>
      <c r="P36" s="21"/>
      <c r="Q36" s="21"/>
      <c r="R36" s="22"/>
    </row>
    <row r="37" spans="2:18" ht="15.6" x14ac:dyDescent="0.3">
      <c r="B37" s="46"/>
      <c r="C37" s="45"/>
      <c r="E37" s="47" t="s">
        <v>8</v>
      </c>
      <c r="F37" s="47"/>
      <c r="G37" s="47"/>
      <c r="H37" s="38">
        <f>CORREL(C2:C27,I2:I27)</f>
        <v>0.29443288902942161</v>
      </c>
      <c r="K37" s="29"/>
      <c r="L37" s="30"/>
      <c r="M37" s="30"/>
      <c r="N37" s="30"/>
      <c r="O37" s="30"/>
      <c r="P37" s="30"/>
      <c r="Q37" s="30"/>
      <c r="R37" s="31"/>
    </row>
    <row r="38" spans="2:18" x14ac:dyDescent="0.3">
      <c r="E38" s="47" t="s">
        <v>9</v>
      </c>
      <c r="F38" s="47"/>
      <c r="G38" s="47"/>
      <c r="H38" s="38">
        <f>CORREL(C2:C27,J2:J27)</f>
        <v>0.44913950476419168</v>
      </c>
      <c r="K38" s="29"/>
      <c r="L38" s="30"/>
      <c r="M38" s="30"/>
      <c r="N38" s="30"/>
      <c r="O38" s="30"/>
      <c r="P38" s="30"/>
      <c r="Q38" s="30"/>
      <c r="R38" s="31"/>
    </row>
    <row r="39" spans="2:18" x14ac:dyDescent="0.3">
      <c r="E39" s="47" t="s">
        <v>10</v>
      </c>
      <c r="F39" s="47"/>
      <c r="G39" s="47"/>
      <c r="H39" s="38">
        <f>CORREL(C2:C27,K2:K27)</f>
        <v>-0.12939252473711171</v>
      </c>
      <c r="K39" s="23"/>
      <c r="L39" s="24"/>
      <c r="M39" s="32"/>
      <c r="N39" s="32"/>
      <c r="O39" s="32"/>
      <c r="P39" s="32"/>
      <c r="Q39" s="32"/>
      <c r="R39" s="33"/>
    </row>
    <row r="40" spans="2:18" x14ac:dyDescent="0.3">
      <c r="E40" s="47" t="s">
        <v>11</v>
      </c>
      <c r="F40" s="47"/>
      <c r="G40" s="47"/>
      <c r="H40" s="38">
        <f>CORREL(C2:C27,L2:L27)</f>
        <v>0.29673944922670309</v>
      </c>
    </row>
    <row r="41" spans="2:18" x14ac:dyDescent="0.3">
      <c r="E41" s="47" t="s">
        <v>12</v>
      </c>
      <c r="F41" s="47"/>
      <c r="G41" s="47"/>
      <c r="H41" s="38">
        <f>CORREL(C2:C27,M2:M27)</f>
        <v>0.1826393770131538</v>
      </c>
    </row>
    <row r="42" spans="2:18" x14ac:dyDescent="0.3">
      <c r="E42" s="47" t="s">
        <v>13</v>
      </c>
      <c r="F42" s="47"/>
      <c r="G42" s="47"/>
      <c r="H42" s="38">
        <f>CORREL(C2:C27,N2:N27)</f>
        <v>0.34204292757843463</v>
      </c>
    </row>
    <row r="43" spans="2:18" x14ac:dyDescent="0.3">
      <c r="E43" s="47" t="s">
        <v>14</v>
      </c>
      <c r="F43" s="47"/>
      <c r="G43" s="47"/>
      <c r="H43" s="38">
        <f>CORREL(C2:C27,O2:O27)</f>
        <v>0.30194792204277632</v>
      </c>
    </row>
    <row r="44" spans="2:18" x14ac:dyDescent="0.3">
      <c r="E44" s="47" t="s">
        <v>15</v>
      </c>
      <c r="F44" s="47"/>
      <c r="G44" s="47"/>
      <c r="H44" s="38">
        <f>CORREL(C2:C27,P2:P27)</f>
        <v>0.43280544153514777</v>
      </c>
    </row>
    <row r="45" spans="2:18" x14ac:dyDescent="0.3">
      <c r="E45" s="47" t="s">
        <v>16</v>
      </c>
      <c r="F45" s="47"/>
      <c r="G45" s="47"/>
      <c r="H45" s="38">
        <f>CORREL(C2:C27,Q2:Q27)</f>
        <v>0.14932219704278443</v>
      </c>
    </row>
    <row r="46" spans="2:18" x14ac:dyDescent="0.3">
      <c r="E46" s="47" t="s">
        <v>17</v>
      </c>
      <c r="F46" s="47"/>
      <c r="G46" s="47"/>
      <c r="H46" s="38">
        <f>CORREL(C2:C27,R2:R27)</f>
        <v>0.3458430911640441</v>
      </c>
    </row>
    <row r="47" spans="2:18" x14ac:dyDescent="0.3">
      <c r="E47" s="47" t="s">
        <v>18</v>
      </c>
      <c r="F47" s="47"/>
      <c r="G47" s="47"/>
      <c r="H47" s="38">
        <f>CORREL(C2:C27,S2:S27)</f>
        <v>0.38937865925155157</v>
      </c>
    </row>
    <row r="48" spans="2:18" x14ac:dyDescent="0.3">
      <c r="E48" s="47" t="s">
        <v>19</v>
      </c>
      <c r="F48" s="47"/>
      <c r="G48" s="47"/>
      <c r="H48" s="38">
        <f>CORREL(C2:C27,T2:T27)</f>
        <v>0.35337628090977957</v>
      </c>
    </row>
    <row r="49" spans="5:8" x14ac:dyDescent="0.3">
      <c r="E49" s="47" t="s">
        <v>20</v>
      </c>
      <c r="F49" s="47"/>
      <c r="G49" s="47"/>
      <c r="H49" s="38">
        <f>CORREL(C2:C27,U2:U27)</f>
        <v>0.23713189120949721</v>
      </c>
    </row>
    <row r="50" spans="5:8" x14ac:dyDescent="0.3">
      <c r="E50" s="47" t="s">
        <v>21</v>
      </c>
      <c r="F50" s="47"/>
      <c r="G50" s="47"/>
      <c r="H50" s="38">
        <f>CORREL(C2:C27,V2:V27)</f>
        <v>0.39522370384457084</v>
      </c>
    </row>
    <row r="51" spans="5:8" x14ac:dyDescent="0.3">
      <c r="E51" s="47" t="s">
        <v>22</v>
      </c>
      <c r="F51" s="47"/>
      <c r="G51" s="47"/>
      <c r="H51" s="38">
        <f>CORREL(C2:C27,W2:W27)</f>
        <v>0.32600399207389968</v>
      </c>
    </row>
    <row r="52" spans="5:8" x14ac:dyDescent="0.3">
      <c r="E52" s="47" t="s">
        <v>23</v>
      </c>
      <c r="F52" s="47"/>
      <c r="G52" s="47"/>
      <c r="H52" s="38">
        <f>CORREL(C2:C27,X2:X27)</f>
        <v>0.27018090587929267</v>
      </c>
    </row>
    <row r="53" spans="5:8" x14ac:dyDescent="0.3">
      <c r="E53" s="47" t="s">
        <v>24</v>
      </c>
      <c r="F53" s="47"/>
      <c r="G53" s="47"/>
      <c r="H53" s="38">
        <f>CORREL(C2:C27,Y2:Y27)</f>
        <v>0.51557042552906418</v>
      </c>
    </row>
    <row r="54" spans="5:8" x14ac:dyDescent="0.3">
      <c r="E54" s="47" t="s">
        <v>25</v>
      </c>
      <c r="F54" s="47"/>
      <c r="G54" s="47"/>
      <c r="H54" s="38">
        <f>CORREL(C2:C27,Z2:Z27)</f>
        <v>0.42044385053311606</v>
      </c>
    </row>
    <row r="55" spans="5:8" x14ac:dyDescent="0.3">
      <c r="E55" s="47" t="s">
        <v>26</v>
      </c>
      <c r="F55" s="47"/>
      <c r="G55" s="47"/>
      <c r="H55" s="38">
        <f>CORREL(C2:C27,AA2:AA27)</f>
        <v>0.26029261296803224</v>
      </c>
    </row>
    <row r="56" spans="5:8" x14ac:dyDescent="0.3">
      <c r="E56" s="47" t="s">
        <v>27</v>
      </c>
      <c r="F56" s="47"/>
      <c r="G56" s="47"/>
      <c r="H56" s="38">
        <f>CORREL(C2:C27,AB2:AB27)</f>
        <v>0.2301848202369696</v>
      </c>
    </row>
    <row r="57" spans="5:8" x14ac:dyDescent="0.3">
      <c r="E57" s="47" t="s">
        <v>28</v>
      </c>
      <c r="F57" s="47"/>
      <c r="G57" s="47"/>
      <c r="H57" s="38">
        <f>CORREL(C2:C27,AC2:AC27)</f>
        <v>0.35047898033301006</v>
      </c>
    </row>
    <row r="58" spans="5:8" x14ac:dyDescent="0.3">
      <c r="E58" s="47" t="s">
        <v>29</v>
      </c>
      <c r="F58" s="47"/>
      <c r="G58" s="47"/>
      <c r="H58" s="38">
        <f>CORREL(C2:C27,AD2:AD27)</f>
        <v>0.38680786018358077</v>
      </c>
    </row>
  </sheetData>
  <conditionalFormatting sqref="H32:H58">
    <cfRule type="top10" dxfId="0" priority="1" rank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A7513-4E96-4EA3-9541-FB9A0327E462}">
  <dimension ref="A1:M92"/>
  <sheetViews>
    <sheetView topLeftCell="A51" workbookViewId="0">
      <selection activeCell="A9" sqref="A9:C45"/>
    </sheetView>
  </sheetViews>
  <sheetFormatPr defaultRowHeight="14.4" x14ac:dyDescent="0.3"/>
  <cols>
    <col min="1" max="1" width="12.44140625" bestFit="1" customWidth="1"/>
    <col min="2" max="2" width="13.21875" bestFit="1" customWidth="1"/>
    <col min="7" max="7" width="11.109375" bestFit="1" customWidth="1"/>
    <col min="9" max="9" width="10.6640625" bestFit="1" customWidth="1"/>
    <col min="10" max="10" width="10.5546875" bestFit="1" customWidth="1"/>
    <col min="12" max="12" width="9.5546875" bestFit="1" customWidth="1"/>
  </cols>
  <sheetData>
    <row r="1" spans="1:13" ht="15.6" x14ac:dyDescent="0.3">
      <c r="B1" s="37">
        <v>33329</v>
      </c>
      <c r="C1" s="37">
        <v>33359</v>
      </c>
      <c r="D1" s="37">
        <v>33390</v>
      </c>
      <c r="E1" s="37">
        <v>33420</v>
      </c>
      <c r="F1" s="37">
        <v>33451</v>
      </c>
      <c r="G1" s="37">
        <v>33482</v>
      </c>
      <c r="H1" s="37">
        <v>33512</v>
      </c>
      <c r="I1" s="37">
        <v>33543</v>
      </c>
      <c r="J1" s="37">
        <v>33573</v>
      </c>
      <c r="K1" s="37">
        <v>33604</v>
      </c>
      <c r="L1" s="37">
        <v>33635</v>
      </c>
      <c r="M1" s="37">
        <v>33664</v>
      </c>
    </row>
    <row r="2" spans="1:13" ht="15.6" x14ac:dyDescent="0.3">
      <c r="A2" s="35" t="s">
        <v>106</v>
      </c>
      <c r="B2" s="36">
        <v>63.396976500000008</v>
      </c>
      <c r="C2" s="36">
        <v>66.953084852941174</v>
      </c>
      <c r="D2" s="36">
        <v>71.982647477272721</v>
      </c>
      <c r="E2" s="36">
        <v>73.539060523809511</v>
      </c>
      <c r="F2" s="36">
        <v>69.804724424999989</v>
      </c>
      <c r="G2" s="36">
        <v>73.130738295454549</v>
      </c>
      <c r="H2" s="36">
        <v>82.107393785714294</v>
      </c>
      <c r="I2" s="36">
        <v>80.637301023809528</v>
      </c>
      <c r="J2" s="36">
        <v>73.298823523809531</v>
      </c>
      <c r="K2" s="36">
        <v>84.666318799999985</v>
      </c>
      <c r="L2" s="36">
        <v>94.067715194444446</v>
      </c>
      <c r="M2" s="36">
        <v>112.87479254347826</v>
      </c>
    </row>
    <row r="3" spans="1:13" ht="15.6" x14ac:dyDescent="0.3">
      <c r="A3" s="35" t="s">
        <v>107</v>
      </c>
      <c r="B3" s="36">
        <v>102.96599786842103</v>
      </c>
      <c r="C3" s="36">
        <v>109.50503773684208</v>
      </c>
      <c r="D3" s="36">
        <v>116.01138504999999</v>
      </c>
      <c r="E3" s="36">
        <v>105.49124737500001</v>
      </c>
      <c r="F3" s="36">
        <v>97.404465428571427</v>
      </c>
      <c r="G3" s="36">
        <v>90.706344809523813</v>
      </c>
      <c r="H3" s="36">
        <v>91.698948700000003</v>
      </c>
      <c r="I3" s="36">
        <v>87.552266068181822</v>
      </c>
      <c r="J3" s="36">
        <v>78.100942275000008</v>
      </c>
      <c r="K3" s="36">
        <v>80.922269684210534</v>
      </c>
      <c r="L3" s="36">
        <v>82.278706675000009</v>
      </c>
      <c r="M3" s="36">
        <v>78.539480282608693</v>
      </c>
    </row>
    <row r="4" spans="1:13" ht="15.6" x14ac:dyDescent="0.3">
      <c r="A4" s="35" t="s">
        <v>108</v>
      </c>
      <c r="B4" s="36">
        <v>83.755358416666667</v>
      </c>
      <c r="C4" s="36">
        <v>74.981547824999993</v>
      </c>
      <c r="D4" s="36">
        <v>74.928252024999992</v>
      </c>
      <c r="E4" s="36">
        <v>80.368492428571415</v>
      </c>
      <c r="F4" s="36">
        <v>86.426703761904761</v>
      </c>
      <c r="G4" s="36">
        <v>93.539339400000003</v>
      </c>
      <c r="H4" s="36">
        <v>90.080343022727263</v>
      </c>
      <c r="I4" s="36">
        <v>83.455368214285699</v>
      </c>
      <c r="J4" s="36">
        <v>77.419721631578938</v>
      </c>
      <c r="K4" s="36">
        <v>79.216541545454547</v>
      </c>
      <c r="L4" s="36">
        <v>81.621881399999992</v>
      </c>
      <c r="M4" s="36">
        <v>84.486883150000011</v>
      </c>
    </row>
    <row r="9" spans="1:13" x14ac:dyDescent="0.3">
      <c r="A9" s="39" t="s">
        <v>1</v>
      </c>
      <c r="B9" s="39" t="s">
        <v>2</v>
      </c>
      <c r="C9" s="39" t="s">
        <v>114</v>
      </c>
      <c r="D9" s="40" t="s">
        <v>115</v>
      </c>
    </row>
    <row r="10" spans="1:13" ht="15.6" x14ac:dyDescent="0.3">
      <c r="A10" s="38">
        <v>2021</v>
      </c>
      <c r="B10" s="37">
        <v>33329</v>
      </c>
      <c r="C10" s="36">
        <v>63.396976500000008</v>
      </c>
      <c r="D10" s="41">
        <v>0</v>
      </c>
    </row>
    <row r="11" spans="1:13" ht="15.6" x14ac:dyDescent="0.3">
      <c r="A11" s="38">
        <v>2021</v>
      </c>
      <c r="B11" s="37">
        <v>33359</v>
      </c>
      <c r="C11" s="36">
        <v>66.953084852941174</v>
      </c>
      <c r="D11" s="41">
        <f>(C11-C10)/C10</f>
        <v>5.6092712133380143E-2</v>
      </c>
    </row>
    <row r="12" spans="1:13" ht="15.6" x14ac:dyDescent="0.3">
      <c r="A12" s="38">
        <v>2021</v>
      </c>
      <c r="B12" s="37">
        <v>33390</v>
      </c>
      <c r="C12" s="36">
        <v>71.982647477272721</v>
      </c>
      <c r="D12" s="41">
        <f>(C12-C11)/C11</f>
        <v>7.512070034381102E-2</v>
      </c>
    </row>
    <row r="13" spans="1:13" ht="15.6" x14ac:dyDescent="0.3">
      <c r="A13" s="38">
        <v>2021</v>
      </c>
      <c r="B13" s="37">
        <v>33420</v>
      </c>
      <c r="C13" s="36">
        <v>73.539060523809511</v>
      </c>
      <c r="D13" s="41">
        <f t="shared" ref="D13:D45" si="0">(C13-C12)/C12</f>
        <v>2.1622058941749817E-2</v>
      </c>
    </row>
    <row r="14" spans="1:13" ht="15.6" x14ac:dyDescent="0.3">
      <c r="A14" s="38">
        <v>2021</v>
      </c>
      <c r="B14" s="37">
        <v>33451</v>
      </c>
      <c r="C14" s="36">
        <v>69.804724424999989</v>
      </c>
      <c r="D14" s="41">
        <f t="shared" si="0"/>
        <v>-5.078030739324535E-2</v>
      </c>
    </row>
    <row r="15" spans="1:13" ht="15.6" x14ac:dyDescent="0.3">
      <c r="A15" s="38">
        <v>2021</v>
      </c>
      <c r="B15" s="37">
        <v>33482</v>
      </c>
      <c r="C15" s="36">
        <v>73.130738295454549</v>
      </c>
      <c r="D15" s="41">
        <f t="shared" si="0"/>
        <v>4.7647403493843964E-2</v>
      </c>
    </row>
    <row r="16" spans="1:13" ht="15.6" x14ac:dyDescent="0.3">
      <c r="A16" s="38">
        <v>2021</v>
      </c>
      <c r="B16" s="37">
        <v>33512</v>
      </c>
      <c r="C16" s="36">
        <v>82.107393785714294</v>
      </c>
      <c r="D16" s="41">
        <f t="shared" si="0"/>
        <v>0.122748049582014</v>
      </c>
    </row>
    <row r="17" spans="1:4" ht="15.6" x14ac:dyDescent="0.3">
      <c r="A17" s="38">
        <v>2021</v>
      </c>
      <c r="B17" s="37">
        <v>33543</v>
      </c>
      <c r="C17" s="36">
        <v>80.637301023809528</v>
      </c>
      <c r="D17" s="41">
        <f t="shared" si="0"/>
        <v>-1.7904511325026917E-2</v>
      </c>
    </row>
    <row r="18" spans="1:4" ht="15.6" x14ac:dyDescent="0.3">
      <c r="A18" s="38">
        <v>2021</v>
      </c>
      <c r="B18" s="37">
        <v>33573</v>
      </c>
      <c r="C18" s="36">
        <v>73.298823523809531</v>
      </c>
      <c r="D18" s="41">
        <f t="shared" si="0"/>
        <v>-9.1005991108670498E-2</v>
      </c>
    </row>
    <row r="19" spans="1:4" ht="15.6" x14ac:dyDescent="0.3">
      <c r="A19" s="38">
        <v>2022</v>
      </c>
      <c r="B19" s="37">
        <v>33604</v>
      </c>
      <c r="C19" s="36">
        <v>84.666318799999985</v>
      </c>
      <c r="D19" s="41">
        <f t="shared" si="0"/>
        <v>0.15508428007030658</v>
      </c>
    </row>
    <row r="20" spans="1:4" ht="15.6" x14ac:dyDescent="0.3">
      <c r="A20" s="38">
        <v>2022</v>
      </c>
      <c r="B20" s="37">
        <v>33635</v>
      </c>
      <c r="C20" s="36">
        <v>94.067715194444446</v>
      </c>
      <c r="D20" s="41">
        <f t="shared" si="0"/>
        <v>0.11104057112312367</v>
      </c>
    </row>
    <row r="21" spans="1:4" ht="15.6" x14ac:dyDescent="0.3">
      <c r="A21" s="38">
        <v>2022</v>
      </c>
      <c r="B21" s="37">
        <v>33664</v>
      </c>
      <c r="C21" s="36">
        <v>112.87479254347826</v>
      </c>
      <c r="D21" s="41">
        <f t="shared" si="0"/>
        <v>0.19993126557988886</v>
      </c>
    </row>
    <row r="22" spans="1:4" ht="15.6" x14ac:dyDescent="0.3">
      <c r="A22" s="38">
        <v>2022</v>
      </c>
      <c r="B22" s="37">
        <v>33329</v>
      </c>
      <c r="C22" s="36">
        <v>102.96599786842103</v>
      </c>
      <c r="D22" s="41">
        <f t="shared" si="0"/>
        <v>-8.7785717712309114E-2</v>
      </c>
    </row>
    <row r="23" spans="1:4" ht="15.6" x14ac:dyDescent="0.3">
      <c r="A23" s="38">
        <v>2022</v>
      </c>
      <c r="B23" s="37">
        <v>33359</v>
      </c>
      <c r="C23" s="36">
        <v>109.50503773684208</v>
      </c>
      <c r="D23" s="41">
        <f t="shared" si="0"/>
        <v>6.3506788685496113E-2</v>
      </c>
    </row>
    <row r="24" spans="1:4" ht="15.6" x14ac:dyDescent="0.3">
      <c r="A24" s="38">
        <v>2022</v>
      </c>
      <c r="B24" s="37">
        <v>33390</v>
      </c>
      <c r="C24" s="36">
        <v>116.01138504999999</v>
      </c>
      <c r="D24" s="41">
        <f t="shared" si="0"/>
        <v>5.9415963389681525E-2</v>
      </c>
    </row>
    <row r="25" spans="1:4" ht="15.6" x14ac:dyDescent="0.3">
      <c r="A25" s="38">
        <v>2022</v>
      </c>
      <c r="B25" s="37">
        <v>33420</v>
      </c>
      <c r="C25" s="36">
        <v>105.49124737500001</v>
      </c>
      <c r="D25" s="41">
        <f t="shared" si="0"/>
        <v>-9.0681941866876919E-2</v>
      </c>
    </row>
    <row r="26" spans="1:4" ht="15.6" x14ac:dyDescent="0.3">
      <c r="A26" s="38">
        <v>2022</v>
      </c>
      <c r="B26" s="37">
        <v>33451</v>
      </c>
      <c r="C26" s="36">
        <v>97.404465428571427</v>
      </c>
      <c r="D26" s="41">
        <f t="shared" si="0"/>
        <v>-7.6658321402549315E-2</v>
      </c>
    </row>
    <row r="27" spans="1:4" ht="15.6" x14ac:dyDescent="0.3">
      <c r="A27" s="38">
        <v>2022</v>
      </c>
      <c r="B27" s="37">
        <v>33482</v>
      </c>
      <c r="C27" s="36">
        <v>90.706344809523813</v>
      </c>
      <c r="D27" s="41">
        <f t="shared" si="0"/>
        <v>-6.8766052866020555E-2</v>
      </c>
    </row>
    <row r="28" spans="1:4" ht="15.6" x14ac:dyDescent="0.3">
      <c r="A28" s="38">
        <v>2022</v>
      </c>
      <c r="B28" s="37">
        <v>33512</v>
      </c>
      <c r="C28" s="36">
        <v>91.698948700000003</v>
      </c>
      <c r="D28" s="41">
        <f t="shared" si="0"/>
        <v>1.0943048058662044E-2</v>
      </c>
    </row>
    <row r="29" spans="1:4" ht="15.6" x14ac:dyDescent="0.3">
      <c r="A29" s="38">
        <v>2022</v>
      </c>
      <c r="B29" s="37">
        <v>33543</v>
      </c>
      <c r="C29" s="36">
        <v>87.552266068181822</v>
      </c>
      <c r="D29" s="41">
        <f t="shared" si="0"/>
        <v>-4.5220612565410795E-2</v>
      </c>
    </row>
    <row r="30" spans="1:4" ht="15.6" x14ac:dyDescent="0.3">
      <c r="A30" s="38">
        <v>2022</v>
      </c>
      <c r="B30" s="37">
        <v>33573</v>
      </c>
      <c r="C30" s="36">
        <v>78.100942275000008</v>
      </c>
      <c r="D30" s="41">
        <f t="shared" si="0"/>
        <v>-0.1079506472833215</v>
      </c>
    </row>
    <row r="31" spans="1:4" ht="15.6" x14ac:dyDescent="0.3">
      <c r="A31" s="38">
        <v>2023</v>
      </c>
      <c r="B31" s="37">
        <v>33604</v>
      </c>
      <c r="C31" s="36">
        <v>80.922269684210534</v>
      </c>
      <c r="D31" s="41">
        <f t="shared" si="0"/>
        <v>3.6124114857364886E-2</v>
      </c>
    </row>
    <row r="32" spans="1:4" ht="15.6" x14ac:dyDescent="0.3">
      <c r="A32" s="38">
        <v>2023</v>
      </c>
      <c r="B32" s="37">
        <v>33635</v>
      </c>
      <c r="C32" s="36">
        <v>82.278706675000009</v>
      </c>
      <c r="D32" s="41">
        <f t="shared" si="0"/>
        <v>1.676222127830582E-2</v>
      </c>
    </row>
    <row r="33" spans="1:4" ht="15.6" x14ac:dyDescent="0.3">
      <c r="A33" s="38">
        <v>2023</v>
      </c>
      <c r="B33" s="37">
        <v>33664</v>
      </c>
      <c r="C33" s="36">
        <v>78.539480282608693</v>
      </c>
      <c r="D33" s="41">
        <f t="shared" si="0"/>
        <v>-4.5445857664744529E-2</v>
      </c>
    </row>
    <row r="34" spans="1:4" ht="15.6" x14ac:dyDescent="0.3">
      <c r="A34" s="38">
        <v>2023</v>
      </c>
      <c r="B34" s="37">
        <v>33329</v>
      </c>
      <c r="C34" s="36">
        <v>83.755358416666667</v>
      </c>
      <c r="D34" s="41">
        <f t="shared" si="0"/>
        <v>6.6410907167830421E-2</v>
      </c>
    </row>
    <row r="35" spans="1:4" ht="15.6" x14ac:dyDescent="0.3">
      <c r="A35" s="38">
        <v>2023</v>
      </c>
      <c r="B35" s="37">
        <v>33359</v>
      </c>
      <c r="C35" s="36">
        <v>74.981547824999993</v>
      </c>
      <c r="D35" s="41">
        <f t="shared" si="0"/>
        <v>-0.10475521515911457</v>
      </c>
    </row>
    <row r="36" spans="1:4" ht="15.6" x14ac:dyDescent="0.3">
      <c r="A36" s="38">
        <v>2023</v>
      </c>
      <c r="B36" s="37">
        <v>33390</v>
      </c>
      <c r="C36" s="36">
        <v>74.928252024999992</v>
      </c>
      <c r="D36" s="41">
        <f t="shared" si="0"/>
        <v>-7.1078554052242632E-4</v>
      </c>
    </row>
    <row r="37" spans="1:4" ht="15.6" x14ac:dyDescent="0.3">
      <c r="A37" s="38">
        <v>2023</v>
      </c>
      <c r="B37" s="37">
        <v>33420</v>
      </c>
      <c r="C37" s="36">
        <v>80.368492428571415</v>
      </c>
      <c r="D37" s="41">
        <f t="shared" si="0"/>
        <v>7.2605996490566385E-2</v>
      </c>
    </row>
    <row r="38" spans="1:4" ht="15.6" x14ac:dyDescent="0.3">
      <c r="A38" s="38">
        <v>2023</v>
      </c>
      <c r="B38" s="37">
        <v>33451</v>
      </c>
      <c r="C38" s="36">
        <v>86.426703761904761</v>
      </c>
      <c r="D38" s="41">
        <f t="shared" si="0"/>
        <v>7.5380427705766209E-2</v>
      </c>
    </row>
    <row r="39" spans="1:4" ht="15.6" x14ac:dyDescent="0.3">
      <c r="A39" s="38">
        <v>2023</v>
      </c>
      <c r="B39" s="37">
        <v>33482</v>
      </c>
      <c r="C39" s="36">
        <v>93.539339400000003</v>
      </c>
      <c r="D39" s="41">
        <f t="shared" si="0"/>
        <v>8.2296736176468127E-2</v>
      </c>
    </row>
    <row r="40" spans="1:4" ht="15.6" x14ac:dyDescent="0.3">
      <c r="A40" s="38">
        <v>2023</v>
      </c>
      <c r="B40" s="37">
        <v>33512</v>
      </c>
      <c r="C40" s="36">
        <v>90.080343022727263</v>
      </c>
      <c r="D40" s="41">
        <f t="shared" si="0"/>
        <v>-3.6979055010011544E-2</v>
      </c>
    </row>
    <row r="41" spans="1:4" ht="15.6" x14ac:dyDescent="0.3">
      <c r="A41" s="38">
        <v>2023</v>
      </c>
      <c r="B41" s="37">
        <v>33543</v>
      </c>
      <c r="C41" s="36">
        <v>83.455368214285699</v>
      </c>
      <c r="D41" s="41">
        <f t="shared" si="0"/>
        <v>-7.3545177406463519E-2</v>
      </c>
    </row>
    <row r="42" spans="1:4" ht="15.6" x14ac:dyDescent="0.3">
      <c r="A42" s="38">
        <v>2023</v>
      </c>
      <c r="B42" s="37">
        <v>33573</v>
      </c>
      <c r="C42" s="36">
        <v>77.419721631578938</v>
      </c>
      <c r="D42" s="41">
        <f t="shared" si="0"/>
        <v>-7.2321849532905103E-2</v>
      </c>
    </row>
    <row r="43" spans="1:4" ht="15.6" x14ac:dyDescent="0.3">
      <c r="A43" s="38">
        <v>2024</v>
      </c>
      <c r="B43" s="37">
        <v>33604</v>
      </c>
      <c r="C43" s="36">
        <v>79.216541545454547</v>
      </c>
      <c r="D43" s="41">
        <f t="shared" si="0"/>
        <v>2.3208813930205342E-2</v>
      </c>
    </row>
    <row r="44" spans="1:4" ht="15.6" x14ac:dyDescent="0.3">
      <c r="A44" s="38">
        <v>2024</v>
      </c>
      <c r="B44" s="37">
        <v>33635</v>
      </c>
      <c r="C44" s="36">
        <v>81.621881399999992</v>
      </c>
      <c r="D44" s="41">
        <f t="shared" si="0"/>
        <v>3.0364110924550509E-2</v>
      </c>
    </row>
    <row r="45" spans="1:4" ht="15.6" x14ac:dyDescent="0.3">
      <c r="A45" s="38">
        <v>2024</v>
      </c>
      <c r="B45" s="37">
        <v>33664</v>
      </c>
      <c r="C45" s="36">
        <v>84.486883150000011</v>
      </c>
      <c r="D45" s="41">
        <f t="shared" si="0"/>
        <v>3.510090310170208E-2</v>
      </c>
    </row>
    <row r="51" spans="1:2" x14ac:dyDescent="0.3">
      <c r="A51" s="1" t="s">
        <v>57</v>
      </c>
      <c r="B51" t="s">
        <v>127</v>
      </c>
    </row>
    <row r="52" spans="1:2" x14ac:dyDescent="0.3">
      <c r="A52" s="2">
        <v>2021</v>
      </c>
      <c r="B52" s="3">
        <v>0.1635401146678562</v>
      </c>
    </row>
    <row r="53" spans="1:2" x14ac:dyDescent="0.3">
      <c r="A53" s="13" t="s">
        <v>116</v>
      </c>
      <c r="B53" s="3">
        <v>0</v>
      </c>
    </row>
    <row r="54" spans="1:2" x14ac:dyDescent="0.3">
      <c r="A54" s="13" t="s">
        <v>38</v>
      </c>
      <c r="B54" s="3">
        <v>5.6092712133380143E-2</v>
      </c>
    </row>
    <row r="55" spans="1:2" x14ac:dyDescent="0.3">
      <c r="A55" s="13" t="s">
        <v>117</v>
      </c>
      <c r="B55" s="3">
        <v>7.512070034381102E-2</v>
      </c>
    </row>
    <row r="56" spans="1:2" x14ac:dyDescent="0.3">
      <c r="A56" s="13" t="s">
        <v>118</v>
      </c>
      <c r="B56" s="3">
        <v>2.1622058941749817E-2</v>
      </c>
    </row>
    <row r="57" spans="1:2" x14ac:dyDescent="0.3">
      <c r="A57" s="13" t="s">
        <v>119</v>
      </c>
      <c r="B57" s="3">
        <v>-5.078030739324535E-2</v>
      </c>
    </row>
    <row r="58" spans="1:2" x14ac:dyDescent="0.3">
      <c r="A58" s="13" t="s">
        <v>120</v>
      </c>
      <c r="B58" s="3">
        <v>4.7647403493843964E-2</v>
      </c>
    </row>
    <row r="59" spans="1:2" x14ac:dyDescent="0.3">
      <c r="A59" s="13" t="s">
        <v>121</v>
      </c>
      <c r="B59" s="3">
        <v>0.122748049582014</v>
      </c>
    </row>
    <row r="60" spans="1:2" x14ac:dyDescent="0.3">
      <c r="A60" s="13" t="s">
        <v>122</v>
      </c>
      <c r="B60" s="3">
        <v>-1.7904511325026917E-2</v>
      </c>
    </row>
    <row r="61" spans="1:2" x14ac:dyDescent="0.3">
      <c r="A61" s="13" t="s">
        <v>123</v>
      </c>
      <c r="B61" s="3">
        <v>-9.1005991108670498E-2</v>
      </c>
    </row>
    <row r="62" spans="1:2" x14ac:dyDescent="0.3">
      <c r="A62" s="2">
        <v>2022</v>
      </c>
      <c r="B62" s="3">
        <v>0.1228586232106705</v>
      </c>
    </row>
    <row r="63" spans="1:2" x14ac:dyDescent="0.3">
      <c r="A63" s="13" t="s">
        <v>124</v>
      </c>
      <c r="B63" s="3">
        <v>0.15508428007030658</v>
      </c>
    </row>
    <row r="64" spans="1:2" x14ac:dyDescent="0.3">
      <c r="A64" s="13" t="s">
        <v>125</v>
      </c>
      <c r="B64" s="3">
        <v>0.11104057112312367</v>
      </c>
    </row>
    <row r="65" spans="1:2" x14ac:dyDescent="0.3">
      <c r="A65" s="13" t="s">
        <v>126</v>
      </c>
      <c r="B65" s="3">
        <v>0.19993126557988886</v>
      </c>
    </row>
    <row r="66" spans="1:2" x14ac:dyDescent="0.3">
      <c r="A66" s="13" t="s">
        <v>116</v>
      </c>
      <c r="B66" s="3">
        <v>-8.7785717712309114E-2</v>
      </c>
    </row>
    <row r="67" spans="1:2" x14ac:dyDescent="0.3">
      <c r="A67" s="13" t="s">
        <v>38</v>
      </c>
      <c r="B67" s="3">
        <v>6.3506788685496113E-2</v>
      </c>
    </row>
    <row r="68" spans="1:2" x14ac:dyDescent="0.3">
      <c r="A68" s="13" t="s">
        <v>117</v>
      </c>
      <c r="B68" s="3">
        <v>5.9415963389681525E-2</v>
      </c>
    </row>
    <row r="69" spans="1:2" x14ac:dyDescent="0.3">
      <c r="A69" s="13" t="s">
        <v>118</v>
      </c>
      <c r="B69" s="3">
        <v>-9.0681941866876919E-2</v>
      </c>
    </row>
    <row r="70" spans="1:2" x14ac:dyDescent="0.3">
      <c r="A70" s="13" t="s">
        <v>119</v>
      </c>
      <c r="B70" s="3">
        <v>-7.6658321402549315E-2</v>
      </c>
    </row>
    <row r="71" spans="1:2" x14ac:dyDescent="0.3">
      <c r="A71" s="13" t="s">
        <v>120</v>
      </c>
      <c r="B71" s="3">
        <v>-6.8766052866020555E-2</v>
      </c>
    </row>
    <row r="72" spans="1:2" x14ac:dyDescent="0.3">
      <c r="A72" s="13" t="s">
        <v>121</v>
      </c>
      <c r="B72" s="3">
        <v>1.0943048058662044E-2</v>
      </c>
    </row>
    <row r="73" spans="1:2" x14ac:dyDescent="0.3">
      <c r="A73" s="13" t="s">
        <v>122</v>
      </c>
      <c r="B73" s="3">
        <v>-4.5220612565410795E-2</v>
      </c>
    </row>
    <row r="74" spans="1:2" x14ac:dyDescent="0.3">
      <c r="A74" s="13" t="s">
        <v>123</v>
      </c>
      <c r="B74" s="3">
        <v>-0.1079506472833215</v>
      </c>
    </row>
    <row r="75" spans="1:2" x14ac:dyDescent="0.3">
      <c r="A75" s="2">
        <v>2023</v>
      </c>
      <c r="B75" s="3">
        <v>1.5822463362540146E-2</v>
      </c>
    </row>
    <row r="76" spans="1:2" x14ac:dyDescent="0.3">
      <c r="A76" s="13" t="s">
        <v>124</v>
      </c>
      <c r="B76" s="3">
        <v>3.6124114857364886E-2</v>
      </c>
    </row>
    <row r="77" spans="1:2" x14ac:dyDescent="0.3">
      <c r="A77" s="13" t="s">
        <v>125</v>
      </c>
      <c r="B77" s="3">
        <v>1.676222127830582E-2</v>
      </c>
    </row>
    <row r="78" spans="1:2" x14ac:dyDescent="0.3">
      <c r="A78" s="13" t="s">
        <v>126</v>
      </c>
      <c r="B78" s="3">
        <v>-4.5445857664744529E-2</v>
      </c>
    </row>
    <row r="79" spans="1:2" x14ac:dyDescent="0.3">
      <c r="A79" s="13" t="s">
        <v>116</v>
      </c>
      <c r="B79" s="3">
        <v>6.6410907167830421E-2</v>
      </c>
    </row>
    <row r="80" spans="1:2" x14ac:dyDescent="0.3">
      <c r="A80" s="13" t="s">
        <v>38</v>
      </c>
      <c r="B80" s="3">
        <v>-0.10475521515911457</v>
      </c>
    </row>
    <row r="81" spans="1:2" x14ac:dyDescent="0.3">
      <c r="A81" s="13" t="s">
        <v>117</v>
      </c>
      <c r="B81" s="3">
        <v>-7.1078554052242632E-4</v>
      </c>
    </row>
    <row r="82" spans="1:2" x14ac:dyDescent="0.3">
      <c r="A82" s="13" t="s">
        <v>118</v>
      </c>
      <c r="B82" s="3">
        <v>7.2605996490566385E-2</v>
      </c>
    </row>
    <row r="83" spans="1:2" x14ac:dyDescent="0.3">
      <c r="A83" s="13" t="s">
        <v>119</v>
      </c>
      <c r="B83" s="3">
        <v>7.5380427705766209E-2</v>
      </c>
    </row>
    <row r="84" spans="1:2" x14ac:dyDescent="0.3">
      <c r="A84" s="13" t="s">
        <v>120</v>
      </c>
      <c r="B84" s="3">
        <v>8.2296736176468127E-2</v>
      </c>
    </row>
    <row r="85" spans="1:2" x14ac:dyDescent="0.3">
      <c r="A85" s="13" t="s">
        <v>121</v>
      </c>
      <c r="B85" s="3">
        <v>-3.6979055010011544E-2</v>
      </c>
    </row>
    <row r="86" spans="1:2" x14ac:dyDescent="0.3">
      <c r="A86" s="13" t="s">
        <v>122</v>
      </c>
      <c r="B86" s="3">
        <v>-7.3545177406463519E-2</v>
      </c>
    </row>
    <row r="87" spans="1:2" x14ac:dyDescent="0.3">
      <c r="A87" s="13" t="s">
        <v>123</v>
      </c>
      <c r="B87" s="3">
        <v>-7.2321849532905103E-2</v>
      </c>
    </row>
    <row r="88" spans="1:2" x14ac:dyDescent="0.3">
      <c r="A88" s="2">
        <v>2024</v>
      </c>
      <c r="B88" s="3">
        <v>8.8673827956457923E-2</v>
      </c>
    </row>
    <row r="89" spans="1:2" x14ac:dyDescent="0.3">
      <c r="A89" s="13" t="s">
        <v>124</v>
      </c>
      <c r="B89" s="3">
        <v>2.3208813930205342E-2</v>
      </c>
    </row>
    <row r="90" spans="1:2" x14ac:dyDescent="0.3">
      <c r="A90" s="13" t="s">
        <v>125</v>
      </c>
      <c r="B90" s="3">
        <v>3.0364110924550509E-2</v>
      </c>
    </row>
    <row r="91" spans="1:2" x14ac:dyDescent="0.3">
      <c r="A91" s="13" t="s">
        <v>126</v>
      </c>
      <c r="B91" s="3">
        <v>3.510090310170208E-2</v>
      </c>
    </row>
    <row r="92" spans="1:2" x14ac:dyDescent="0.3">
      <c r="A92" s="2" t="s">
        <v>58</v>
      </c>
      <c r="B92" s="3">
        <v>0.39089502919752483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F676D-F503-4A49-BE5D-4B84A2C53691}">
  <dimension ref="A1:Z175"/>
  <sheetViews>
    <sheetView topLeftCell="A106" workbookViewId="0">
      <selection activeCell="G90" sqref="G90:N93"/>
    </sheetView>
  </sheetViews>
  <sheetFormatPr defaultRowHeight="14.4" x14ac:dyDescent="0.3"/>
  <cols>
    <col min="1" max="1" width="12.88671875" bestFit="1" customWidth="1"/>
    <col min="2" max="2" width="18" bestFit="1" customWidth="1"/>
    <col min="19" max="19" width="9.109375" customWidth="1"/>
    <col min="24" max="24" width="8.88671875" style="5"/>
    <col min="25" max="25" width="8.88671875" style="3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17</v>
      </c>
      <c r="R1" t="s">
        <v>18</v>
      </c>
      <c r="S1" t="s">
        <v>19</v>
      </c>
      <c r="T1" t="s">
        <v>21</v>
      </c>
      <c r="U1" t="s">
        <v>23</v>
      </c>
      <c r="V1" t="s">
        <v>24</v>
      </c>
      <c r="W1" t="s">
        <v>26</v>
      </c>
      <c r="X1" s="5" t="s">
        <v>103</v>
      </c>
      <c r="Y1" s="3" t="s">
        <v>104</v>
      </c>
      <c r="Z1" t="s">
        <v>109</v>
      </c>
    </row>
    <row r="2" spans="1:26" x14ac:dyDescent="0.3">
      <c r="A2" t="s">
        <v>34</v>
      </c>
      <c r="B2">
        <v>2018</v>
      </c>
      <c r="C2" t="s">
        <v>31</v>
      </c>
      <c r="D2">
        <v>136</v>
      </c>
      <c r="E2">
        <v>144.19999999999999</v>
      </c>
      <c r="F2">
        <v>143.69999999999999</v>
      </c>
      <c r="G2">
        <v>141.1</v>
      </c>
      <c r="H2">
        <v>120.7</v>
      </c>
      <c r="I2">
        <v>141.30000000000001</v>
      </c>
      <c r="J2">
        <v>151.6</v>
      </c>
      <c r="K2">
        <v>127.3</v>
      </c>
      <c r="L2">
        <v>118.8</v>
      </c>
      <c r="M2">
        <v>137.5</v>
      </c>
      <c r="N2">
        <v>129</v>
      </c>
      <c r="O2">
        <v>149.5</v>
      </c>
      <c r="P2">
        <v>139.19999999999999</v>
      </c>
      <c r="Q2">
        <v>143.5</v>
      </c>
      <c r="R2">
        <v>135.5</v>
      </c>
      <c r="S2">
        <v>142.30000000000001</v>
      </c>
      <c r="T2">
        <v>136.6</v>
      </c>
      <c r="U2">
        <v>133.30000000000001</v>
      </c>
      <c r="V2">
        <v>119.3</v>
      </c>
      <c r="W2">
        <v>139</v>
      </c>
      <c r="X2" s="5">
        <f>AVERAGE(D2:W2)</f>
        <v>136.47000000000003</v>
      </c>
      <c r="Y2" s="3">
        <v>0</v>
      </c>
      <c r="Z2" t="str">
        <f>CONCATENATE(LEFT(C2,3),RIGHT(B2,2))</f>
        <v>Jan18</v>
      </c>
    </row>
    <row r="3" spans="1:26" x14ac:dyDescent="0.3">
      <c r="A3" t="s">
        <v>34</v>
      </c>
      <c r="B3">
        <v>2018</v>
      </c>
      <c r="C3" t="s">
        <v>35</v>
      </c>
      <c r="D3">
        <v>135.9</v>
      </c>
      <c r="E3">
        <v>143.5</v>
      </c>
      <c r="F3">
        <v>140.30000000000001</v>
      </c>
      <c r="G3">
        <v>140.9</v>
      </c>
      <c r="H3">
        <v>120.4</v>
      </c>
      <c r="I3">
        <v>142.9</v>
      </c>
      <c r="J3">
        <v>140.5</v>
      </c>
      <c r="K3">
        <v>125.8</v>
      </c>
      <c r="L3">
        <v>117.1</v>
      </c>
      <c r="M3">
        <v>137.30000000000001</v>
      </c>
      <c r="N3">
        <v>128.6</v>
      </c>
      <c r="O3">
        <v>149.6</v>
      </c>
      <c r="P3">
        <v>137.6</v>
      </c>
      <c r="Q3">
        <v>143.80000000000001</v>
      </c>
      <c r="R3">
        <v>135.6</v>
      </c>
      <c r="S3">
        <v>142.6</v>
      </c>
      <c r="T3">
        <v>136.69999999999999</v>
      </c>
      <c r="U3">
        <v>133.80000000000001</v>
      </c>
      <c r="V3">
        <v>120.2</v>
      </c>
      <c r="W3">
        <v>139</v>
      </c>
      <c r="X3" s="5">
        <f t="shared" ref="X3:X48" si="0">AVERAGE(D3:W3)</f>
        <v>135.60499999999996</v>
      </c>
      <c r="Y3" s="3">
        <f>(X3-X2)/X2</f>
        <v>-6.3383893896099197E-3</v>
      </c>
      <c r="Z3" t="str">
        <f>CONCATENATE(LEFT(C3,3),RIGHT(B3,2))</f>
        <v>Feb18</v>
      </c>
    </row>
    <row r="4" spans="1:26" x14ac:dyDescent="0.3">
      <c r="A4" t="s">
        <v>34</v>
      </c>
      <c r="B4">
        <v>2018</v>
      </c>
      <c r="C4" t="s">
        <v>36</v>
      </c>
      <c r="D4">
        <v>136.19999999999999</v>
      </c>
      <c r="E4">
        <v>143.6</v>
      </c>
      <c r="F4">
        <v>138.30000000000001</v>
      </c>
      <c r="G4">
        <v>141.19999999999999</v>
      </c>
      <c r="H4">
        <v>120.7</v>
      </c>
      <c r="I4">
        <v>146.19999999999999</v>
      </c>
      <c r="J4">
        <v>134.6</v>
      </c>
      <c r="K4">
        <v>124.6</v>
      </c>
      <c r="L4">
        <v>116.1</v>
      </c>
      <c r="M4">
        <v>137.80000000000001</v>
      </c>
      <c r="N4">
        <v>129.1</v>
      </c>
      <c r="O4">
        <v>150.4</v>
      </c>
      <c r="P4">
        <v>137.19999999999999</v>
      </c>
      <c r="Q4">
        <v>144.30000000000001</v>
      </c>
      <c r="R4">
        <v>136.19999999999999</v>
      </c>
      <c r="S4">
        <v>143.1</v>
      </c>
      <c r="T4">
        <v>136.5</v>
      </c>
      <c r="U4">
        <v>134.30000000000001</v>
      </c>
      <c r="V4">
        <v>121</v>
      </c>
      <c r="W4">
        <v>139.80000000000001</v>
      </c>
      <c r="X4" s="5">
        <f t="shared" si="0"/>
        <v>135.56</v>
      </c>
      <c r="Y4" s="3">
        <f t="shared" ref="Y4:Y48" si="1">(X4-X3)/X3</f>
        <v>-3.3184617086360447E-4</v>
      </c>
      <c r="Z4" t="str">
        <f>CONCATENATE(LEFT(C4,3),RIGHT(B4,2))</f>
        <v>Mar18</v>
      </c>
    </row>
    <row r="5" spans="1:26" x14ac:dyDescent="0.3">
      <c r="A5" t="s">
        <v>34</v>
      </c>
      <c r="B5">
        <v>2018</v>
      </c>
      <c r="C5" t="s">
        <v>37</v>
      </c>
      <c r="D5">
        <v>136.4</v>
      </c>
      <c r="E5">
        <v>144.4</v>
      </c>
      <c r="F5">
        <v>133.9</v>
      </c>
      <c r="G5">
        <v>141.6</v>
      </c>
      <c r="H5">
        <v>121</v>
      </c>
      <c r="I5">
        <v>153.5</v>
      </c>
      <c r="J5">
        <v>132.6</v>
      </c>
      <c r="K5">
        <v>123.5</v>
      </c>
      <c r="L5">
        <v>113.7</v>
      </c>
      <c r="M5">
        <v>138.19999999999999</v>
      </c>
      <c r="N5">
        <v>129.6</v>
      </c>
      <c r="O5">
        <v>151.19999999999999</v>
      </c>
      <c r="P5">
        <v>137.5</v>
      </c>
      <c r="Q5">
        <v>145.30000000000001</v>
      </c>
      <c r="R5">
        <v>136.69999999999999</v>
      </c>
      <c r="S5">
        <v>144</v>
      </c>
      <c r="T5">
        <v>136.5</v>
      </c>
      <c r="U5">
        <v>135.19999999999999</v>
      </c>
      <c r="V5">
        <v>121.9</v>
      </c>
      <c r="W5">
        <v>141.4</v>
      </c>
      <c r="X5" s="5">
        <f t="shared" si="0"/>
        <v>135.90500000000003</v>
      </c>
      <c r="Y5" s="3">
        <f t="shared" si="1"/>
        <v>2.5449985246387375E-3</v>
      </c>
      <c r="Z5" t="str">
        <f t="shared" ref="Z5:Z48" si="2">CONCATENATE(LEFT(C5,3),RIGHT(B5,2))</f>
        <v>Apr18</v>
      </c>
    </row>
    <row r="6" spans="1:26" x14ac:dyDescent="0.3">
      <c r="A6" t="s">
        <v>34</v>
      </c>
      <c r="B6">
        <v>2018</v>
      </c>
      <c r="C6" t="s">
        <v>38</v>
      </c>
      <c r="D6">
        <v>136.6</v>
      </c>
      <c r="E6">
        <v>146.6</v>
      </c>
      <c r="F6">
        <v>133.6</v>
      </c>
      <c r="G6">
        <v>142.1</v>
      </c>
      <c r="H6">
        <v>121</v>
      </c>
      <c r="I6">
        <v>154.6</v>
      </c>
      <c r="J6">
        <v>135.6</v>
      </c>
      <c r="K6">
        <v>122.3</v>
      </c>
      <c r="L6">
        <v>109.6</v>
      </c>
      <c r="M6">
        <v>138.1</v>
      </c>
      <c r="N6">
        <v>129.9</v>
      </c>
      <c r="O6">
        <v>151.69999999999999</v>
      </c>
      <c r="P6">
        <v>138.1</v>
      </c>
      <c r="Q6">
        <v>146</v>
      </c>
      <c r="R6">
        <v>137.4</v>
      </c>
      <c r="S6">
        <v>144.69999999999999</v>
      </c>
      <c r="T6">
        <v>136.9</v>
      </c>
      <c r="U6">
        <v>136</v>
      </c>
      <c r="V6">
        <v>122.9</v>
      </c>
      <c r="W6">
        <v>142.1</v>
      </c>
      <c r="X6" s="5">
        <f t="shared" si="0"/>
        <v>136.29000000000002</v>
      </c>
      <c r="Y6" s="3">
        <f t="shared" si="1"/>
        <v>2.8328611898016322E-3</v>
      </c>
      <c r="Z6" t="str">
        <f t="shared" si="2"/>
        <v>May18</v>
      </c>
    </row>
    <row r="7" spans="1:26" x14ac:dyDescent="0.3">
      <c r="A7" t="s">
        <v>34</v>
      </c>
      <c r="B7">
        <v>2018</v>
      </c>
      <c r="C7" t="s">
        <v>39</v>
      </c>
      <c r="D7">
        <v>136.9</v>
      </c>
      <c r="E7">
        <v>148.69999999999999</v>
      </c>
      <c r="F7">
        <v>135.6</v>
      </c>
      <c r="G7">
        <v>142.30000000000001</v>
      </c>
      <c r="H7">
        <v>121.3</v>
      </c>
      <c r="I7">
        <v>153.19999999999999</v>
      </c>
      <c r="J7">
        <v>143.69999999999999</v>
      </c>
      <c r="K7">
        <v>121.4</v>
      </c>
      <c r="L7">
        <v>111.1</v>
      </c>
      <c r="M7">
        <v>138.4</v>
      </c>
      <c r="N7">
        <v>130.30000000000001</v>
      </c>
      <c r="O7">
        <v>151.80000000000001</v>
      </c>
      <c r="P7">
        <v>139.4</v>
      </c>
      <c r="Q7">
        <v>146.4</v>
      </c>
      <c r="R7">
        <v>138.1</v>
      </c>
      <c r="S7">
        <v>145.19999999999999</v>
      </c>
      <c r="T7">
        <v>138.1</v>
      </c>
      <c r="U7">
        <v>136.19999999999999</v>
      </c>
      <c r="V7">
        <v>123.7</v>
      </c>
      <c r="W7">
        <v>142.80000000000001</v>
      </c>
      <c r="X7" s="5">
        <f t="shared" si="0"/>
        <v>137.22999999999999</v>
      </c>
      <c r="Y7" s="3">
        <f t="shared" si="1"/>
        <v>6.8970577445151456E-3</v>
      </c>
      <c r="Z7" t="str">
        <f t="shared" si="2"/>
        <v>Jun18</v>
      </c>
    </row>
    <row r="8" spans="1:26" x14ac:dyDescent="0.3">
      <c r="A8" t="s">
        <v>34</v>
      </c>
      <c r="B8">
        <v>2018</v>
      </c>
      <c r="C8" t="s">
        <v>40</v>
      </c>
      <c r="D8">
        <v>137.5</v>
      </c>
      <c r="E8">
        <v>149.1</v>
      </c>
      <c r="F8">
        <v>139.19999999999999</v>
      </c>
      <c r="G8">
        <v>142.5</v>
      </c>
      <c r="H8">
        <v>121.4</v>
      </c>
      <c r="I8">
        <v>151.6</v>
      </c>
      <c r="J8">
        <v>155.9</v>
      </c>
      <c r="K8">
        <v>121.7</v>
      </c>
      <c r="L8">
        <v>113.5</v>
      </c>
      <c r="M8">
        <v>138.9</v>
      </c>
      <c r="N8">
        <v>130.30000000000001</v>
      </c>
      <c r="O8">
        <v>152.30000000000001</v>
      </c>
      <c r="P8">
        <v>141.4</v>
      </c>
      <c r="Q8">
        <v>146.80000000000001</v>
      </c>
      <c r="R8">
        <v>138.4</v>
      </c>
      <c r="S8">
        <v>145.6</v>
      </c>
      <c r="T8">
        <v>139.69999999999999</v>
      </c>
      <c r="U8">
        <v>137</v>
      </c>
      <c r="V8">
        <v>123.6</v>
      </c>
      <c r="W8">
        <v>144.69999999999999</v>
      </c>
      <c r="X8" s="5">
        <f t="shared" si="0"/>
        <v>138.55499999999998</v>
      </c>
      <c r="Y8" s="3">
        <f t="shared" si="1"/>
        <v>9.6553231800625867E-3</v>
      </c>
      <c r="Z8" t="str">
        <f t="shared" si="2"/>
        <v>Jul18</v>
      </c>
    </row>
    <row r="9" spans="1:26" x14ac:dyDescent="0.3">
      <c r="A9" t="s">
        <v>34</v>
      </c>
      <c r="B9">
        <v>2018</v>
      </c>
      <c r="C9" t="s">
        <v>41</v>
      </c>
      <c r="D9">
        <v>138.30000000000001</v>
      </c>
      <c r="E9">
        <v>148</v>
      </c>
      <c r="F9">
        <v>138.1</v>
      </c>
      <c r="G9">
        <v>142.6</v>
      </c>
      <c r="H9">
        <v>122.2</v>
      </c>
      <c r="I9">
        <v>150.6</v>
      </c>
      <c r="J9">
        <v>156.6</v>
      </c>
      <c r="K9">
        <v>122.4</v>
      </c>
      <c r="L9">
        <v>114.7</v>
      </c>
      <c r="M9">
        <v>139.4</v>
      </c>
      <c r="N9">
        <v>131.1</v>
      </c>
      <c r="O9">
        <v>153</v>
      </c>
      <c r="P9">
        <v>141.69999999999999</v>
      </c>
      <c r="Q9">
        <v>147.30000000000001</v>
      </c>
      <c r="R9">
        <v>138.80000000000001</v>
      </c>
      <c r="S9">
        <v>146.1</v>
      </c>
      <c r="T9">
        <v>140.9</v>
      </c>
      <c r="U9">
        <v>137.69999999999999</v>
      </c>
      <c r="V9">
        <v>124.3</v>
      </c>
      <c r="W9">
        <v>146</v>
      </c>
      <c r="X9" s="5">
        <f t="shared" si="0"/>
        <v>138.99</v>
      </c>
      <c r="Y9" s="3">
        <f t="shared" si="1"/>
        <v>3.1395474721232059E-3</v>
      </c>
      <c r="Z9" t="str">
        <f t="shared" si="2"/>
        <v>Aug18</v>
      </c>
    </row>
    <row r="10" spans="1:26" x14ac:dyDescent="0.3">
      <c r="A10" t="s">
        <v>34</v>
      </c>
      <c r="B10">
        <v>2018</v>
      </c>
      <c r="C10" t="s">
        <v>42</v>
      </c>
      <c r="D10">
        <v>138.6</v>
      </c>
      <c r="E10">
        <v>145.80000000000001</v>
      </c>
      <c r="F10">
        <v>135.1</v>
      </c>
      <c r="G10">
        <v>142.9</v>
      </c>
      <c r="H10">
        <v>122.1</v>
      </c>
      <c r="I10">
        <v>145.4</v>
      </c>
      <c r="J10">
        <v>150</v>
      </c>
      <c r="K10">
        <v>121.4</v>
      </c>
      <c r="L10">
        <v>113.7</v>
      </c>
      <c r="M10">
        <v>139.5</v>
      </c>
      <c r="N10">
        <v>130.80000000000001</v>
      </c>
      <c r="O10">
        <v>153.80000000000001</v>
      </c>
      <c r="P10">
        <v>140.4</v>
      </c>
      <c r="Q10">
        <v>147.69999999999999</v>
      </c>
      <c r="R10">
        <v>139.1</v>
      </c>
      <c r="S10">
        <v>146.5</v>
      </c>
      <c r="T10">
        <v>142.30000000000001</v>
      </c>
      <c r="U10">
        <v>138.4</v>
      </c>
      <c r="V10">
        <v>126</v>
      </c>
      <c r="W10">
        <v>146.19999999999999</v>
      </c>
      <c r="X10" s="5">
        <f t="shared" si="0"/>
        <v>138.28500000000003</v>
      </c>
      <c r="Y10" s="3">
        <f t="shared" si="1"/>
        <v>-5.0723073602416289E-3</v>
      </c>
      <c r="Z10" t="str">
        <f t="shared" si="2"/>
        <v>Sep18</v>
      </c>
    </row>
    <row r="11" spans="1:26" x14ac:dyDescent="0.3">
      <c r="A11" t="s">
        <v>34</v>
      </c>
      <c r="B11">
        <v>2018</v>
      </c>
      <c r="C11" t="s">
        <v>43</v>
      </c>
      <c r="D11">
        <v>137.4</v>
      </c>
      <c r="E11">
        <v>149.5</v>
      </c>
      <c r="F11">
        <v>137.30000000000001</v>
      </c>
      <c r="G11">
        <v>141.9</v>
      </c>
      <c r="H11">
        <v>121.1</v>
      </c>
      <c r="I11">
        <v>142.5</v>
      </c>
      <c r="J11">
        <v>146.69999999999999</v>
      </c>
      <c r="K11">
        <v>119.1</v>
      </c>
      <c r="L11">
        <v>111.9</v>
      </c>
      <c r="M11">
        <v>141</v>
      </c>
      <c r="N11">
        <v>133.6</v>
      </c>
      <c r="O11">
        <v>154.5</v>
      </c>
      <c r="P11">
        <v>139.69999999999999</v>
      </c>
      <c r="Q11">
        <v>148</v>
      </c>
      <c r="R11">
        <v>139.19999999999999</v>
      </c>
      <c r="S11">
        <v>146.80000000000001</v>
      </c>
      <c r="T11">
        <v>145.30000000000001</v>
      </c>
      <c r="U11">
        <v>142.1</v>
      </c>
      <c r="V11">
        <v>125.5</v>
      </c>
      <c r="W11">
        <v>147.80000000000001</v>
      </c>
      <c r="X11" s="5">
        <f t="shared" si="0"/>
        <v>138.54500000000002</v>
      </c>
      <c r="Y11" s="3">
        <f t="shared" si="1"/>
        <v>1.8801750009038642E-3</v>
      </c>
      <c r="Z11" t="str">
        <f t="shared" si="2"/>
        <v>Oct18</v>
      </c>
    </row>
    <row r="12" spans="1:26" x14ac:dyDescent="0.3">
      <c r="A12" t="s">
        <v>34</v>
      </c>
      <c r="B12">
        <v>2018</v>
      </c>
      <c r="C12" t="s">
        <v>45</v>
      </c>
      <c r="D12">
        <v>137.4</v>
      </c>
      <c r="E12">
        <v>149.19999999999999</v>
      </c>
      <c r="F12">
        <v>137.1</v>
      </c>
      <c r="G12">
        <v>141.80000000000001</v>
      </c>
      <c r="H12">
        <v>121.1</v>
      </c>
      <c r="I12">
        <v>142.80000000000001</v>
      </c>
      <c r="J12">
        <v>146.69999999999999</v>
      </c>
      <c r="K12">
        <v>119.1</v>
      </c>
      <c r="L12">
        <v>111.9</v>
      </c>
      <c r="M12">
        <v>140.9</v>
      </c>
      <c r="N12">
        <v>133.5</v>
      </c>
      <c r="O12">
        <v>154.5</v>
      </c>
      <c r="P12">
        <v>139.69999999999999</v>
      </c>
      <c r="Q12">
        <v>148</v>
      </c>
      <c r="R12">
        <v>139.1</v>
      </c>
      <c r="S12">
        <v>146.69999999999999</v>
      </c>
      <c r="T12">
        <v>145.1</v>
      </c>
      <c r="U12">
        <v>142.1</v>
      </c>
      <c r="V12">
        <v>125.5</v>
      </c>
      <c r="W12">
        <v>147.80000000000001</v>
      </c>
      <c r="X12" s="5">
        <f t="shared" si="0"/>
        <v>138.5</v>
      </c>
      <c r="Y12" s="3">
        <f t="shared" si="1"/>
        <v>-3.2480421523704145E-4</v>
      </c>
      <c r="Z12" t="str">
        <f t="shared" si="2"/>
        <v>Nov18</v>
      </c>
    </row>
    <row r="13" spans="1:26" x14ac:dyDescent="0.3">
      <c r="A13" t="s">
        <v>34</v>
      </c>
      <c r="B13">
        <v>2018</v>
      </c>
      <c r="C13" t="s">
        <v>46</v>
      </c>
      <c r="D13">
        <v>137.5</v>
      </c>
      <c r="E13">
        <v>150.5</v>
      </c>
      <c r="F13">
        <v>138.80000000000001</v>
      </c>
      <c r="G13">
        <v>142.1</v>
      </c>
      <c r="H13">
        <v>122</v>
      </c>
      <c r="I13">
        <v>139.4</v>
      </c>
      <c r="J13">
        <v>135.19999999999999</v>
      </c>
      <c r="K13">
        <v>119.8</v>
      </c>
      <c r="L13">
        <v>110.3</v>
      </c>
      <c r="M13">
        <v>140.6</v>
      </c>
      <c r="N13">
        <v>133.80000000000001</v>
      </c>
      <c r="O13">
        <v>154.6</v>
      </c>
      <c r="P13">
        <v>138.19999999999999</v>
      </c>
      <c r="Q13">
        <v>148.1</v>
      </c>
      <c r="R13">
        <v>139.4</v>
      </c>
      <c r="S13">
        <v>146.80000000000001</v>
      </c>
      <c r="T13">
        <v>142.69999999999999</v>
      </c>
      <c r="U13">
        <v>144.9</v>
      </c>
      <c r="V13">
        <v>123.6</v>
      </c>
      <c r="W13">
        <v>150.1</v>
      </c>
      <c r="X13" s="5">
        <f t="shared" si="0"/>
        <v>137.91999999999999</v>
      </c>
      <c r="Y13" s="3">
        <f t="shared" si="1"/>
        <v>-4.1877256317690431E-3</v>
      </c>
      <c r="Z13" t="str">
        <f t="shared" si="2"/>
        <v>Dec18</v>
      </c>
    </row>
    <row r="14" spans="1:26" x14ac:dyDescent="0.3">
      <c r="A14" t="s">
        <v>34</v>
      </c>
      <c r="B14">
        <v>2019</v>
      </c>
      <c r="C14" t="s">
        <v>31</v>
      </c>
      <c r="D14">
        <v>137.1</v>
      </c>
      <c r="E14">
        <v>151.4</v>
      </c>
      <c r="F14">
        <v>140.19999999999999</v>
      </c>
      <c r="G14">
        <v>142.1</v>
      </c>
      <c r="H14">
        <v>121.8</v>
      </c>
      <c r="I14">
        <v>135.4</v>
      </c>
      <c r="J14">
        <v>131.30000000000001</v>
      </c>
      <c r="K14">
        <v>120.3</v>
      </c>
      <c r="L14">
        <v>109.1</v>
      </c>
      <c r="M14">
        <v>139.4</v>
      </c>
      <c r="N14">
        <v>133.30000000000001</v>
      </c>
      <c r="O14">
        <v>154.6</v>
      </c>
      <c r="P14">
        <v>137.4</v>
      </c>
      <c r="Q14">
        <v>147.6</v>
      </c>
      <c r="R14">
        <v>139</v>
      </c>
      <c r="S14">
        <v>146.4</v>
      </c>
      <c r="T14">
        <v>139.5</v>
      </c>
      <c r="U14">
        <v>145.1</v>
      </c>
      <c r="V14">
        <v>123.3</v>
      </c>
      <c r="W14">
        <v>150.19999999999999</v>
      </c>
      <c r="X14" s="5">
        <f t="shared" si="0"/>
        <v>137.22499999999997</v>
      </c>
      <c r="Y14" s="3">
        <f t="shared" si="1"/>
        <v>-5.0391531322507375E-3</v>
      </c>
      <c r="Z14" t="str">
        <f t="shared" si="2"/>
        <v>Jan19</v>
      </c>
    </row>
    <row r="15" spans="1:26" x14ac:dyDescent="0.3">
      <c r="A15" t="s">
        <v>34</v>
      </c>
      <c r="B15">
        <v>2019</v>
      </c>
      <c r="C15" t="s">
        <v>35</v>
      </c>
      <c r="D15">
        <v>137.6</v>
      </c>
      <c r="E15">
        <v>152</v>
      </c>
      <c r="F15">
        <v>141.5</v>
      </c>
      <c r="G15">
        <v>142.19999999999999</v>
      </c>
      <c r="H15">
        <v>122</v>
      </c>
      <c r="I15">
        <v>136.4</v>
      </c>
      <c r="J15">
        <v>129.69999999999999</v>
      </c>
      <c r="K15">
        <v>121</v>
      </c>
      <c r="L15">
        <v>109</v>
      </c>
      <c r="M15">
        <v>139.69999999999999</v>
      </c>
      <c r="N15">
        <v>133.6</v>
      </c>
      <c r="O15">
        <v>154.9</v>
      </c>
      <c r="P15">
        <v>137.5</v>
      </c>
      <c r="Q15">
        <v>147.69999999999999</v>
      </c>
      <c r="R15">
        <v>139.69999999999999</v>
      </c>
      <c r="S15">
        <v>146.5</v>
      </c>
      <c r="T15">
        <v>138.4</v>
      </c>
      <c r="U15">
        <v>145.6</v>
      </c>
      <c r="V15">
        <v>123.9</v>
      </c>
      <c r="W15">
        <v>150.30000000000001</v>
      </c>
      <c r="X15" s="5">
        <f t="shared" si="0"/>
        <v>137.46</v>
      </c>
      <c r="Y15" s="3">
        <f t="shared" si="1"/>
        <v>1.7125159409731618E-3</v>
      </c>
      <c r="Z15" t="str">
        <f t="shared" si="2"/>
        <v>Feb19</v>
      </c>
    </row>
    <row r="16" spans="1:26" x14ac:dyDescent="0.3">
      <c r="A16" t="s">
        <v>34</v>
      </c>
      <c r="B16">
        <v>2019</v>
      </c>
      <c r="C16" t="s">
        <v>36</v>
      </c>
      <c r="D16">
        <v>137.80000000000001</v>
      </c>
      <c r="E16">
        <v>153</v>
      </c>
      <c r="F16">
        <v>140.30000000000001</v>
      </c>
      <c r="G16">
        <v>142.30000000000001</v>
      </c>
      <c r="H16">
        <v>122</v>
      </c>
      <c r="I16">
        <v>137.6</v>
      </c>
      <c r="J16">
        <v>132.6</v>
      </c>
      <c r="K16">
        <v>121.8</v>
      </c>
      <c r="L16">
        <v>109</v>
      </c>
      <c r="M16">
        <v>139.5</v>
      </c>
      <c r="N16">
        <v>133.69999999999999</v>
      </c>
      <c r="O16">
        <v>155.19999999999999</v>
      </c>
      <c r="P16">
        <v>138.1</v>
      </c>
      <c r="Q16">
        <v>147.9</v>
      </c>
      <c r="R16">
        <v>139.9</v>
      </c>
      <c r="S16">
        <v>146.69999999999999</v>
      </c>
      <c r="T16">
        <v>139.69999999999999</v>
      </c>
      <c r="U16">
        <v>146.19999999999999</v>
      </c>
      <c r="V16">
        <v>124.6</v>
      </c>
      <c r="W16">
        <v>150.30000000000001</v>
      </c>
      <c r="X16" s="5">
        <f t="shared" si="0"/>
        <v>137.91</v>
      </c>
      <c r="Y16" s="3">
        <f t="shared" si="1"/>
        <v>3.2736796158881754E-3</v>
      </c>
      <c r="Z16" t="str">
        <f t="shared" si="2"/>
        <v>Mar19</v>
      </c>
    </row>
    <row r="17" spans="1:26" x14ac:dyDescent="0.3">
      <c r="A17" t="s">
        <v>34</v>
      </c>
      <c r="B17">
        <v>2019</v>
      </c>
      <c r="C17" t="s">
        <v>38</v>
      </c>
      <c r="D17">
        <v>138.30000000000001</v>
      </c>
      <c r="E17">
        <v>158.5</v>
      </c>
      <c r="F17">
        <v>136</v>
      </c>
      <c r="G17">
        <v>142.5</v>
      </c>
      <c r="H17">
        <v>122</v>
      </c>
      <c r="I17">
        <v>146.5</v>
      </c>
      <c r="J17">
        <v>143</v>
      </c>
      <c r="K17">
        <v>124.9</v>
      </c>
      <c r="L17">
        <v>109.9</v>
      </c>
      <c r="M17">
        <v>139.9</v>
      </c>
      <c r="N17">
        <v>134</v>
      </c>
      <c r="O17">
        <v>155.5</v>
      </c>
      <c r="P17">
        <v>140.9</v>
      </c>
      <c r="Q17">
        <v>148.4</v>
      </c>
      <c r="R17">
        <v>140.4</v>
      </c>
      <c r="S17">
        <v>147.30000000000001</v>
      </c>
      <c r="T17">
        <v>140.30000000000001</v>
      </c>
      <c r="U17">
        <v>146.9</v>
      </c>
      <c r="V17">
        <v>124.9</v>
      </c>
      <c r="W17">
        <v>151.6</v>
      </c>
      <c r="X17" s="5">
        <f t="shared" si="0"/>
        <v>139.58500000000004</v>
      </c>
      <c r="Y17" s="3">
        <f t="shared" si="1"/>
        <v>1.2145602204336451E-2</v>
      </c>
      <c r="Z17" t="str">
        <f t="shared" si="2"/>
        <v>May19</v>
      </c>
    </row>
    <row r="18" spans="1:26" x14ac:dyDescent="0.3">
      <c r="A18" t="s">
        <v>34</v>
      </c>
      <c r="B18">
        <v>2019</v>
      </c>
      <c r="C18" t="s">
        <v>39</v>
      </c>
      <c r="D18">
        <v>138.69999999999999</v>
      </c>
      <c r="E18">
        <v>162.1</v>
      </c>
      <c r="F18">
        <v>137.80000000000001</v>
      </c>
      <c r="G18">
        <v>143.30000000000001</v>
      </c>
      <c r="H18">
        <v>122.2</v>
      </c>
      <c r="I18">
        <v>146.80000000000001</v>
      </c>
      <c r="J18">
        <v>150.5</v>
      </c>
      <c r="K18">
        <v>128.30000000000001</v>
      </c>
      <c r="L18">
        <v>111</v>
      </c>
      <c r="M18">
        <v>140.6</v>
      </c>
      <c r="N18">
        <v>134.19999999999999</v>
      </c>
      <c r="O18">
        <v>155.9</v>
      </c>
      <c r="P18">
        <v>142.69999999999999</v>
      </c>
      <c r="Q18">
        <v>148.6</v>
      </c>
      <c r="R18">
        <v>140.4</v>
      </c>
      <c r="S18">
        <v>147.4</v>
      </c>
      <c r="T18">
        <v>141.19999999999999</v>
      </c>
      <c r="U18">
        <v>147.4</v>
      </c>
      <c r="V18">
        <v>124.6</v>
      </c>
      <c r="W18">
        <v>152.5</v>
      </c>
      <c r="X18" s="5">
        <f t="shared" si="0"/>
        <v>140.81</v>
      </c>
      <c r="Y18" s="3">
        <f t="shared" si="1"/>
        <v>8.7760146147506223E-3</v>
      </c>
      <c r="Z18" t="str">
        <f t="shared" si="2"/>
        <v>Jun19</v>
      </c>
    </row>
    <row r="19" spans="1:26" x14ac:dyDescent="0.3">
      <c r="A19" t="s">
        <v>34</v>
      </c>
      <c r="B19">
        <v>2019</v>
      </c>
      <c r="C19" t="s">
        <v>40</v>
      </c>
      <c r="D19">
        <v>139.30000000000001</v>
      </c>
      <c r="E19">
        <v>162.69999999999999</v>
      </c>
      <c r="F19">
        <v>140</v>
      </c>
      <c r="G19">
        <v>144</v>
      </c>
      <c r="H19">
        <v>122.5</v>
      </c>
      <c r="I19">
        <v>150.30000000000001</v>
      </c>
      <c r="J19">
        <v>160.30000000000001</v>
      </c>
      <c r="K19">
        <v>130</v>
      </c>
      <c r="L19">
        <v>111.1</v>
      </c>
      <c r="M19">
        <v>141.69999999999999</v>
      </c>
      <c r="N19">
        <v>134.69999999999999</v>
      </c>
      <c r="O19">
        <v>156.19999999999999</v>
      </c>
      <c r="P19">
        <v>144.69999999999999</v>
      </c>
      <c r="Q19">
        <v>148.9</v>
      </c>
      <c r="R19">
        <v>140.5</v>
      </c>
      <c r="S19">
        <v>147.6</v>
      </c>
      <c r="T19">
        <v>139.30000000000001</v>
      </c>
      <c r="U19">
        <v>147.9</v>
      </c>
      <c r="V19">
        <v>125.6</v>
      </c>
      <c r="W19">
        <v>154</v>
      </c>
      <c r="X19" s="5">
        <f t="shared" si="0"/>
        <v>142.065</v>
      </c>
      <c r="Y19" s="3">
        <f t="shared" si="1"/>
        <v>8.9127192670974756E-3</v>
      </c>
      <c r="Z19" t="str">
        <f t="shared" si="2"/>
        <v>Jul19</v>
      </c>
    </row>
    <row r="20" spans="1:26" x14ac:dyDescent="0.3">
      <c r="A20" t="s">
        <v>34</v>
      </c>
      <c r="B20">
        <v>2019</v>
      </c>
      <c r="C20" t="s">
        <v>41</v>
      </c>
      <c r="D20">
        <v>140.1</v>
      </c>
      <c r="E20">
        <v>160.6</v>
      </c>
      <c r="F20">
        <v>138.5</v>
      </c>
      <c r="G20">
        <v>144.69999999999999</v>
      </c>
      <c r="H20">
        <v>122.9</v>
      </c>
      <c r="I20">
        <v>149.4</v>
      </c>
      <c r="J20">
        <v>167.4</v>
      </c>
      <c r="K20">
        <v>130.9</v>
      </c>
      <c r="L20">
        <v>112</v>
      </c>
      <c r="M20">
        <v>142.6</v>
      </c>
      <c r="N20">
        <v>134.9</v>
      </c>
      <c r="O20">
        <v>156.6</v>
      </c>
      <c r="P20">
        <v>145.9</v>
      </c>
      <c r="Q20">
        <v>149.1</v>
      </c>
      <c r="R20">
        <v>140.6</v>
      </c>
      <c r="S20">
        <v>147.9</v>
      </c>
      <c r="T20">
        <v>138.5</v>
      </c>
      <c r="U20">
        <v>148.5</v>
      </c>
      <c r="V20">
        <v>125.8</v>
      </c>
      <c r="W20">
        <v>154.9</v>
      </c>
      <c r="X20" s="5">
        <f t="shared" si="0"/>
        <v>142.59</v>
      </c>
      <c r="Y20" s="3">
        <f t="shared" si="1"/>
        <v>3.695491500369589E-3</v>
      </c>
      <c r="Z20" t="str">
        <f t="shared" si="2"/>
        <v>Aug19</v>
      </c>
    </row>
    <row r="21" spans="1:26" x14ac:dyDescent="0.3">
      <c r="A21" t="s">
        <v>34</v>
      </c>
      <c r="B21">
        <v>2019</v>
      </c>
      <c r="C21" t="s">
        <v>42</v>
      </c>
      <c r="D21">
        <v>140.9</v>
      </c>
      <c r="E21">
        <v>160.80000000000001</v>
      </c>
      <c r="F21">
        <v>139.6</v>
      </c>
      <c r="G21">
        <v>145.4</v>
      </c>
      <c r="H21">
        <v>123.5</v>
      </c>
      <c r="I21">
        <v>146.6</v>
      </c>
      <c r="J21">
        <v>173.2</v>
      </c>
      <c r="K21">
        <v>131.6</v>
      </c>
      <c r="L21">
        <v>113.2</v>
      </c>
      <c r="M21">
        <v>144.1</v>
      </c>
      <c r="N21">
        <v>135</v>
      </c>
      <c r="O21">
        <v>156.80000000000001</v>
      </c>
      <c r="P21">
        <v>147</v>
      </c>
      <c r="Q21">
        <v>149.19999999999999</v>
      </c>
      <c r="R21">
        <v>140.6</v>
      </c>
      <c r="S21">
        <v>147.9</v>
      </c>
      <c r="T21">
        <v>139.19999999999999</v>
      </c>
      <c r="U21">
        <v>149</v>
      </c>
      <c r="V21">
        <v>126.1</v>
      </c>
      <c r="W21">
        <v>155.19999999999999</v>
      </c>
      <c r="X21" s="5">
        <f t="shared" si="0"/>
        <v>143.24499999999998</v>
      </c>
      <c r="Y21" s="3">
        <f t="shared" si="1"/>
        <v>4.5935900133247266E-3</v>
      </c>
      <c r="Z21" t="str">
        <f t="shared" si="2"/>
        <v>Sep19</v>
      </c>
    </row>
    <row r="22" spans="1:26" x14ac:dyDescent="0.3">
      <c r="A22" t="s">
        <v>34</v>
      </c>
      <c r="B22">
        <v>2019</v>
      </c>
      <c r="C22" t="s">
        <v>43</v>
      </c>
      <c r="D22">
        <v>141.80000000000001</v>
      </c>
      <c r="E22">
        <v>161</v>
      </c>
      <c r="F22">
        <v>142.6</v>
      </c>
      <c r="G22">
        <v>146.19999999999999</v>
      </c>
      <c r="H22">
        <v>123.9</v>
      </c>
      <c r="I22">
        <v>148</v>
      </c>
      <c r="J22">
        <v>188.4</v>
      </c>
      <c r="K22">
        <v>132.5</v>
      </c>
      <c r="L22">
        <v>114</v>
      </c>
      <c r="M22">
        <v>145.4</v>
      </c>
      <c r="N22">
        <v>135.1</v>
      </c>
      <c r="O22">
        <v>157.1</v>
      </c>
      <c r="P22">
        <v>149.6</v>
      </c>
      <c r="Q22">
        <v>149.4</v>
      </c>
      <c r="R22">
        <v>140.80000000000001</v>
      </c>
      <c r="S22">
        <v>148.19999999999999</v>
      </c>
      <c r="T22">
        <v>140.6</v>
      </c>
      <c r="U22">
        <v>149.4</v>
      </c>
      <c r="V22">
        <v>126.3</v>
      </c>
      <c r="W22">
        <v>155.4</v>
      </c>
      <c r="X22" s="5">
        <f t="shared" si="0"/>
        <v>144.785</v>
      </c>
      <c r="Y22" s="3">
        <f t="shared" si="1"/>
        <v>1.0750811546650987E-2</v>
      </c>
      <c r="Z22" t="str">
        <f t="shared" si="2"/>
        <v>Oct19</v>
      </c>
    </row>
    <row r="23" spans="1:26" x14ac:dyDescent="0.3">
      <c r="A23" t="s">
        <v>34</v>
      </c>
      <c r="B23">
        <v>2019</v>
      </c>
      <c r="C23" t="s">
        <v>45</v>
      </c>
      <c r="D23">
        <v>142.5</v>
      </c>
      <c r="E23">
        <v>163.19999999999999</v>
      </c>
      <c r="F23">
        <v>145.6</v>
      </c>
      <c r="G23">
        <v>146.69999999999999</v>
      </c>
      <c r="H23">
        <v>124.3</v>
      </c>
      <c r="I23">
        <v>147.4</v>
      </c>
      <c r="J23">
        <v>199.6</v>
      </c>
      <c r="K23">
        <v>135.69999999999999</v>
      </c>
      <c r="L23">
        <v>114.2</v>
      </c>
      <c r="M23">
        <v>147</v>
      </c>
      <c r="N23">
        <v>135.30000000000001</v>
      </c>
      <c r="O23">
        <v>157.5</v>
      </c>
      <c r="P23">
        <v>151.9</v>
      </c>
      <c r="Q23">
        <v>149.9</v>
      </c>
      <c r="R23">
        <v>141</v>
      </c>
      <c r="S23">
        <v>148.6</v>
      </c>
      <c r="T23">
        <v>142.30000000000001</v>
      </c>
      <c r="U23">
        <v>149.9</v>
      </c>
      <c r="V23">
        <v>126.6</v>
      </c>
      <c r="W23">
        <v>155.5</v>
      </c>
      <c r="X23" s="5">
        <f t="shared" si="0"/>
        <v>146.23500000000001</v>
      </c>
      <c r="Y23" s="3">
        <f t="shared" si="1"/>
        <v>1.0014849604586229E-2</v>
      </c>
      <c r="Z23" t="str">
        <f t="shared" si="2"/>
        <v>Nov19</v>
      </c>
    </row>
    <row r="24" spans="1:26" x14ac:dyDescent="0.3">
      <c r="A24" t="s">
        <v>34</v>
      </c>
      <c r="B24">
        <v>2019</v>
      </c>
      <c r="C24" t="s">
        <v>46</v>
      </c>
      <c r="D24">
        <v>143.5</v>
      </c>
      <c r="E24">
        <v>165</v>
      </c>
      <c r="F24">
        <v>151.1</v>
      </c>
      <c r="G24">
        <v>148.30000000000001</v>
      </c>
      <c r="H24">
        <v>125.7</v>
      </c>
      <c r="I24">
        <v>145.69999999999999</v>
      </c>
      <c r="J24">
        <v>217</v>
      </c>
      <c r="K24">
        <v>138.30000000000001</v>
      </c>
      <c r="L24">
        <v>114</v>
      </c>
      <c r="M24">
        <v>148.69999999999999</v>
      </c>
      <c r="N24">
        <v>135.80000000000001</v>
      </c>
      <c r="O24">
        <v>158</v>
      </c>
      <c r="P24">
        <v>155</v>
      </c>
      <c r="Q24">
        <v>150.30000000000001</v>
      </c>
      <c r="R24">
        <v>141.30000000000001</v>
      </c>
      <c r="S24">
        <v>149</v>
      </c>
      <c r="T24">
        <v>143.69999999999999</v>
      </c>
      <c r="U24">
        <v>150.4</v>
      </c>
      <c r="V24">
        <v>129.80000000000001</v>
      </c>
      <c r="W24">
        <v>155.69999999999999</v>
      </c>
      <c r="X24" s="5">
        <f t="shared" si="0"/>
        <v>148.315</v>
      </c>
      <c r="Y24" s="3">
        <f t="shared" si="1"/>
        <v>1.4223681061305322E-2</v>
      </c>
      <c r="Z24" t="str">
        <f t="shared" si="2"/>
        <v>Dec19</v>
      </c>
    </row>
    <row r="25" spans="1:26" x14ac:dyDescent="0.3">
      <c r="A25" t="s">
        <v>34</v>
      </c>
      <c r="B25">
        <v>2020</v>
      </c>
      <c r="C25" t="s">
        <v>31</v>
      </c>
      <c r="D25">
        <v>144.30000000000001</v>
      </c>
      <c r="E25">
        <v>167.4</v>
      </c>
      <c r="F25">
        <v>154.9</v>
      </c>
      <c r="G25">
        <v>150.1</v>
      </c>
      <c r="H25">
        <v>129.9</v>
      </c>
      <c r="I25">
        <v>143.19999999999999</v>
      </c>
      <c r="J25">
        <v>197</v>
      </c>
      <c r="K25">
        <v>140.4</v>
      </c>
      <c r="L25">
        <v>114.1</v>
      </c>
      <c r="M25">
        <v>150.9</v>
      </c>
      <c r="N25">
        <v>136.1</v>
      </c>
      <c r="O25">
        <v>158.6</v>
      </c>
      <c r="P25">
        <v>153.5</v>
      </c>
      <c r="Q25">
        <v>150.5</v>
      </c>
      <c r="R25">
        <v>141.5</v>
      </c>
      <c r="S25">
        <v>149.19999999999999</v>
      </c>
      <c r="T25">
        <v>144.6</v>
      </c>
      <c r="U25">
        <v>151.19999999999999</v>
      </c>
      <c r="V25">
        <v>130.9</v>
      </c>
      <c r="W25">
        <v>156.1</v>
      </c>
      <c r="X25" s="5">
        <f t="shared" si="0"/>
        <v>148.21999999999997</v>
      </c>
      <c r="Y25" s="3">
        <f t="shared" si="1"/>
        <v>-6.4052860465918678E-4</v>
      </c>
      <c r="Z25" t="str">
        <f t="shared" si="2"/>
        <v>Jan20</v>
      </c>
    </row>
    <row r="26" spans="1:26" x14ac:dyDescent="0.3">
      <c r="A26" t="s">
        <v>34</v>
      </c>
      <c r="B26">
        <v>2020</v>
      </c>
      <c r="C26" t="s">
        <v>35</v>
      </c>
      <c r="D26">
        <v>144.80000000000001</v>
      </c>
      <c r="E26">
        <v>167.5</v>
      </c>
      <c r="F26">
        <v>151.80000000000001</v>
      </c>
      <c r="G26">
        <v>150.80000000000001</v>
      </c>
      <c r="H26">
        <v>131.4</v>
      </c>
      <c r="I26">
        <v>141.80000000000001</v>
      </c>
      <c r="J26">
        <v>170.7</v>
      </c>
      <c r="K26">
        <v>141.1</v>
      </c>
      <c r="L26">
        <v>113.6</v>
      </c>
      <c r="M26">
        <v>152</v>
      </c>
      <c r="N26">
        <v>136.5</v>
      </c>
      <c r="O26">
        <v>159.1</v>
      </c>
      <c r="P26">
        <v>150.5</v>
      </c>
      <c r="Q26">
        <v>150.80000000000001</v>
      </c>
      <c r="R26">
        <v>141.69999999999999</v>
      </c>
      <c r="S26">
        <v>149.5</v>
      </c>
      <c r="T26">
        <v>147.19999999999999</v>
      </c>
      <c r="U26">
        <v>151.69999999999999</v>
      </c>
      <c r="V26">
        <v>130.30000000000001</v>
      </c>
      <c r="W26">
        <v>156.19999999999999</v>
      </c>
      <c r="X26" s="5">
        <f t="shared" si="0"/>
        <v>146.94999999999999</v>
      </c>
      <c r="Y26" s="3">
        <f t="shared" si="1"/>
        <v>-8.5683443529886803E-3</v>
      </c>
      <c r="Z26" t="str">
        <f t="shared" si="2"/>
        <v>Feb20</v>
      </c>
    </row>
    <row r="27" spans="1:26" x14ac:dyDescent="0.3">
      <c r="A27" t="s">
        <v>34</v>
      </c>
      <c r="B27">
        <v>2020</v>
      </c>
      <c r="C27" t="s">
        <v>36</v>
      </c>
      <c r="D27">
        <v>145.1</v>
      </c>
      <c r="E27">
        <v>167</v>
      </c>
      <c r="F27">
        <v>148.1</v>
      </c>
      <c r="G27">
        <v>151.5</v>
      </c>
      <c r="H27">
        <v>131.19999999999999</v>
      </c>
      <c r="I27">
        <v>142.5</v>
      </c>
      <c r="J27">
        <v>157.30000000000001</v>
      </c>
      <c r="K27">
        <v>141.1</v>
      </c>
      <c r="L27">
        <v>113.2</v>
      </c>
      <c r="M27">
        <v>153.19999999999999</v>
      </c>
      <c r="N27">
        <v>136.69999999999999</v>
      </c>
      <c r="O27">
        <v>159.6</v>
      </c>
      <c r="P27">
        <v>148.9</v>
      </c>
      <c r="Q27">
        <v>151.19999999999999</v>
      </c>
      <c r="R27">
        <v>141.9</v>
      </c>
      <c r="S27">
        <v>149.80000000000001</v>
      </c>
      <c r="T27">
        <v>148.9</v>
      </c>
      <c r="U27">
        <v>152.30000000000001</v>
      </c>
      <c r="V27">
        <v>129.9</v>
      </c>
      <c r="W27">
        <v>156.1</v>
      </c>
      <c r="X27" s="5">
        <f t="shared" si="0"/>
        <v>146.27500000000003</v>
      </c>
      <c r="Y27" s="3">
        <f t="shared" si="1"/>
        <v>-4.5933991153450466E-3</v>
      </c>
      <c r="Z27" t="str">
        <f t="shared" si="2"/>
        <v>Mar20</v>
      </c>
    </row>
    <row r="28" spans="1:26" x14ac:dyDescent="0.3">
      <c r="A28" t="s">
        <v>34</v>
      </c>
      <c r="B28">
        <v>2020</v>
      </c>
      <c r="C28" t="s">
        <v>37</v>
      </c>
      <c r="D28">
        <v>148.69999999999999</v>
      </c>
      <c r="E28">
        <v>167.2</v>
      </c>
      <c r="F28">
        <v>148.80000000000001</v>
      </c>
      <c r="G28">
        <v>155.6</v>
      </c>
      <c r="H28">
        <v>135.1</v>
      </c>
      <c r="I28">
        <v>149.9</v>
      </c>
      <c r="J28">
        <v>168.6</v>
      </c>
      <c r="K28">
        <v>150.4</v>
      </c>
      <c r="L28">
        <v>120.3</v>
      </c>
      <c r="M28">
        <v>157.1</v>
      </c>
      <c r="N28">
        <v>136.80000000000001</v>
      </c>
      <c r="O28">
        <v>160.69999999999999</v>
      </c>
      <c r="P28">
        <v>151.4</v>
      </c>
      <c r="Q28">
        <v>151.80000000000001</v>
      </c>
      <c r="R28">
        <v>143.1</v>
      </c>
      <c r="S28">
        <v>150.6</v>
      </c>
      <c r="T28">
        <v>144.1</v>
      </c>
      <c r="U28">
        <v>150.69999999999999</v>
      </c>
      <c r="V28">
        <v>132.4</v>
      </c>
      <c r="W28">
        <v>156.19999999999999</v>
      </c>
      <c r="X28" s="5">
        <f t="shared" si="0"/>
        <v>148.97499999999997</v>
      </c>
      <c r="Y28" s="3">
        <f t="shared" si="1"/>
        <v>1.845838318236152E-2</v>
      </c>
      <c r="Z28" t="str">
        <f t="shared" si="2"/>
        <v>Apr20</v>
      </c>
    </row>
    <row r="29" spans="1:26" x14ac:dyDescent="0.3">
      <c r="A29" t="s">
        <v>34</v>
      </c>
      <c r="B29">
        <v>2020</v>
      </c>
      <c r="C29" t="s">
        <v>38</v>
      </c>
      <c r="D29">
        <v>149.14999999999998</v>
      </c>
      <c r="E29">
        <v>179.95</v>
      </c>
      <c r="F29">
        <v>150.10000000000002</v>
      </c>
      <c r="G29">
        <v>154.44999999999999</v>
      </c>
      <c r="H29">
        <v>135.69999999999999</v>
      </c>
      <c r="I29">
        <v>148.55000000000001</v>
      </c>
      <c r="J29">
        <v>162.55000000000001</v>
      </c>
      <c r="K29">
        <v>150.65</v>
      </c>
      <c r="L29">
        <v>117.25</v>
      </c>
      <c r="M29">
        <v>158.30000000000001</v>
      </c>
      <c r="N29">
        <v>138.10000000000002</v>
      </c>
      <c r="O29">
        <v>161.80000000000001</v>
      </c>
      <c r="P29">
        <v>152.69999999999999</v>
      </c>
      <c r="Q29">
        <v>152.5</v>
      </c>
      <c r="R29">
        <v>144.4</v>
      </c>
      <c r="S29">
        <v>151.4</v>
      </c>
      <c r="T29">
        <v>143</v>
      </c>
      <c r="U29">
        <v>152.55000000000001</v>
      </c>
      <c r="V29">
        <v>135</v>
      </c>
      <c r="W29">
        <v>156.4</v>
      </c>
      <c r="X29" s="5">
        <f t="shared" si="0"/>
        <v>149.72500000000002</v>
      </c>
      <c r="Y29" s="3">
        <f t="shared" si="1"/>
        <v>5.0344017452596543E-3</v>
      </c>
      <c r="Z29" t="str">
        <f t="shared" si="2"/>
        <v>May20</v>
      </c>
    </row>
    <row r="30" spans="1:26" x14ac:dyDescent="0.3">
      <c r="A30" t="s">
        <v>34</v>
      </c>
      <c r="B30">
        <v>2020</v>
      </c>
      <c r="C30" t="s">
        <v>39</v>
      </c>
      <c r="D30">
        <v>149.6</v>
      </c>
      <c r="E30">
        <v>192.7</v>
      </c>
      <c r="F30">
        <v>151.4</v>
      </c>
      <c r="G30">
        <v>153.30000000000001</v>
      </c>
      <c r="H30">
        <v>136.30000000000001</v>
      </c>
      <c r="I30">
        <v>147.19999999999999</v>
      </c>
      <c r="J30">
        <v>156.5</v>
      </c>
      <c r="K30">
        <v>150.9</v>
      </c>
      <c r="L30">
        <v>114.2</v>
      </c>
      <c r="M30">
        <v>159.5</v>
      </c>
      <c r="N30">
        <v>139.4</v>
      </c>
      <c r="O30">
        <v>161.80000000000001</v>
      </c>
      <c r="P30">
        <v>154</v>
      </c>
      <c r="Q30">
        <v>152.5</v>
      </c>
      <c r="R30">
        <v>144.4</v>
      </c>
      <c r="S30">
        <v>151.4</v>
      </c>
      <c r="T30">
        <v>141.9</v>
      </c>
      <c r="U30">
        <v>154.4</v>
      </c>
      <c r="V30">
        <v>135</v>
      </c>
      <c r="W30">
        <v>156.4</v>
      </c>
      <c r="X30" s="5">
        <f t="shared" si="0"/>
        <v>150.14000000000004</v>
      </c>
      <c r="Y30" s="3">
        <f t="shared" si="1"/>
        <v>2.7717482050427142E-3</v>
      </c>
      <c r="Z30" t="str">
        <f t="shared" si="2"/>
        <v>Jun20</v>
      </c>
    </row>
    <row r="31" spans="1:26" x14ac:dyDescent="0.3">
      <c r="A31" t="s">
        <v>34</v>
      </c>
      <c r="B31">
        <v>2020</v>
      </c>
      <c r="C31" t="s">
        <v>40</v>
      </c>
      <c r="D31">
        <v>149.6</v>
      </c>
      <c r="E31">
        <v>192.7</v>
      </c>
      <c r="F31">
        <v>151.4</v>
      </c>
      <c r="G31">
        <v>153.30000000000001</v>
      </c>
      <c r="H31">
        <v>136.30000000000001</v>
      </c>
      <c r="I31">
        <v>147.19999999999999</v>
      </c>
      <c r="J31">
        <v>156.5</v>
      </c>
      <c r="K31">
        <v>150.9</v>
      </c>
      <c r="L31">
        <v>114.2</v>
      </c>
      <c r="M31">
        <v>159.5</v>
      </c>
      <c r="N31">
        <v>139.4</v>
      </c>
      <c r="O31">
        <v>161.80000000000001</v>
      </c>
      <c r="P31">
        <v>154</v>
      </c>
      <c r="Q31">
        <v>152.5</v>
      </c>
      <c r="R31">
        <v>144.4</v>
      </c>
      <c r="S31">
        <v>151.4</v>
      </c>
      <c r="T31">
        <v>141.9</v>
      </c>
      <c r="U31">
        <v>154.4</v>
      </c>
      <c r="V31">
        <v>135</v>
      </c>
      <c r="W31">
        <v>156.4</v>
      </c>
      <c r="X31" s="5">
        <f t="shared" si="0"/>
        <v>150.14000000000004</v>
      </c>
      <c r="Y31" s="3">
        <f t="shared" si="1"/>
        <v>0</v>
      </c>
      <c r="Z31" t="str">
        <f t="shared" si="2"/>
        <v>Jul20</v>
      </c>
    </row>
    <row r="32" spans="1:26" x14ac:dyDescent="0.3">
      <c r="A32" t="s">
        <v>34</v>
      </c>
      <c r="B32">
        <v>2020</v>
      </c>
      <c r="C32" t="s">
        <v>41</v>
      </c>
      <c r="D32">
        <v>148.9</v>
      </c>
      <c r="E32">
        <v>190.9</v>
      </c>
      <c r="F32">
        <v>150.80000000000001</v>
      </c>
      <c r="G32">
        <v>153.30000000000001</v>
      </c>
      <c r="H32">
        <v>137.4</v>
      </c>
      <c r="I32">
        <v>150.4</v>
      </c>
      <c r="J32">
        <v>178.1</v>
      </c>
      <c r="K32">
        <v>150.4</v>
      </c>
      <c r="L32">
        <v>115.1</v>
      </c>
      <c r="M32">
        <v>160</v>
      </c>
      <c r="N32">
        <v>140.6</v>
      </c>
      <c r="O32">
        <v>162.30000000000001</v>
      </c>
      <c r="P32">
        <v>157</v>
      </c>
      <c r="Q32">
        <v>153.1</v>
      </c>
      <c r="R32">
        <v>143.4</v>
      </c>
      <c r="S32">
        <v>151.69999999999999</v>
      </c>
      <c r="T32">
        <v>143</v>
      </c>
      <c r="U32">
        <v>155</v>
      </c>
      <c r="V32">
        <v>138.5</v>
      </c>
      <c r="W32">
        <v>158.5</v>
      </c>
      <c r="X32" s="5">
        <f t="shared" si="0"/>
        <v>151.91999999999999</v>
      </c>
      <c r="Y32" s="3">
        <f t="shared" si="1"/>
        <v>1.1855601438656879E-2</v>
      </c>
      <c r="Z32" t="str">
        <f t="shared" si="2"/>
        <v>Aug20</v>
      </c>
    </row>
    <row r="33" spans="1:26" x14ac:dyDescent="0.3">
      <c r="A33" t="s">
        <v>34</v>
      </c>
      <c r="B33">
        <v>2020</v>
      </c>
      <c r="C33" t="s">
        <v>42</v>
      </c>
      <c r="D33">
        <v>148.4</v>
      </c>
      <c r="E33">
        <v>187.1</v>
      </c>
      <c r="F33">
        <v>152.5</v>
      </c>
      <c r="G33">
        <v>153.6</v>
      </c>
      <c r="H33">
        <v>138.19999999999999</v>
      </c>
      <c r="I33">
        <v>150.9</v>
      </c>
      <c r="J33">
        <v>186.7</v>
      </c>
      <c r="K33">
        <v>149.80000000000001</v>
      </c>
      <c r="L33">
        <v>116.4</v>
      </c>
      <c r="M33">
        <v>160.30000000000001</v>
      </c>
      <c r="N33">
        <v>142.19999999999999</v>
      </c>
      <c r="O33">
        <v>162.9</v>
      </c>
      <c r="P33">
        <v>158</v>
      </c>
      <c r="Q33">
        <v>153.4</v>
      </c>
      <c r="R33">
        <v>144.30000000000001</v>
      </c>
      <c r="S33">
        <v>152</v>
      </c>
      <c r="T33">
        <v>142.9</v>
      </c>
      <c r="U33">
        <v>155.6</v>
      </c>
      <c r="V33">
        <v>139.6</v>
      </c>
      <c r="W33">
        <v>157.5</v>
      </c>
      <c r="X33" s="5">
        <f t="shared" si="0"/>
        <v>152.61500000000001</v>
      </c>
      <c r="Y33" s="3">
        <f t="shared" si="1"/>
        <v>4.5747761979990894E-3</v>
      </c>
      <c r="Z33" t="str">
        <f t="shared" si="2"/>
        <v>Sep20</v>
      </c>
    </row>
    <row r="34" spans="1:26" x14ac:dyDescent="0.3">
      <c r="A34" t="s">
        <v>34</v>
      </c>
      <c r="B34">
        <v>2020</v>
      </c>
      <c r="C34" t="s">
        <v>43</v>
      </c>
      <c r="D34">
        <v>147.5</v>
      </c>
      <c r="E34">
        <v>188.9</v>
      </c>
      <c r="F34">
        <v>161.4</v>
      </c>
      <c r="G34">
        <v>153.6</v>
      </c>
      <c r="H34">
        <v>140.1</v>
      </c>
      <c r="I34">
        <v>151.19999999999999</v>
      </c>
      <c r="J34">
        <v>209.2</v>
      </c>
      <c r="K34">
        <v>150.9</v>
      </c>
      <c r="L34">
        <v>116.2</v>
      </c>
      <c r="M34">
        <v>161</v>
      </c>
      <c r="N34">
        <v>144</v>
      </c>
      <c r="O34">
        <v>163.19999999999999</v>
      </c>
      <c r="P34">
        <v>161.4</v>
      </c>
      <c r="Q34">
        <v>153.69999999999999</v>
      </c>
      <c r="R34">
        <v>144.6</v>
      </c>
      <c r="S34">
        <v>152.30000000000001</v>
      </c>
      <c r="T34">
        <v>143.1</v>
      </c>
      <c r="U34">
        <v>156.30000000000001</v>
      </c>
      <c r="V34">
        <v>140.6</v>
      </c>
      <c r="W34">
        <v>158.5</v>
      </c>
      <c r="X34" s="5">
        <f t="shared" si="0"/>
        <v>154.88500000000002</v>
      </c>
      <c r="Y34" s="3">
        <f t="shared" si="1"/>
        <v>1.4874029420437114E-2</v>
      </c>
      <c r="Z34" t="str">
        <f t="shared" si="2"/>
        <v>Oct20</v>
      </c>
    </row>
    <row r="35" spans="1:26" x14ac:dyDescent="0.3">
      <c r="A35" t="s">
        <v>34</v>
      </c>
      <c r="B35">
        <v>2020</v>
      </c>
      <c r="C35" t="s">
        <v>45</v>
      </c>
      <c r="D35">
        <v>146.80000000000001</v>
      </c>
      <c r="E35">
        <v>191</v>
      </c>
      <c r="F35">
        <v>173.6</v>
      </c>
      <c r="G35">
        <v>153.80000000000001</v>
      </c>
      <c r="H35">
        <v>142.69999999999999</v>
      </c>
      <c r="I35">
        <v>148.4</v>
      </c>
      <c r="J35">
        <v>230</v>
      </c>
      <c r="K35">
        <v>156.80000000000001</v>
      </c>
      <c r="L35">
        <v>115.7</v>
      </c>
      <c r="M35">
        <v>161.80000000000001</v>
      </c>
      <c r="N35">
        <v>146.5</v>
      </c>
      <c r="O35">
        <v>163.80000000000001</v>
      </c>
      <c r="P35">
        <v>164.7</v>
      </c>
      <c r="Q35">
        <v>154.30000000000001</v>
      </c>
      <c r="R35">
        <v>144.9</v>
      </c>
      <c r="S35">
        <v>152.80000000000001</v>
      </c>
      <c r="T35">
        <v>143.6</v>
      </c>
      <c r="U35">
        <v>157.19999999999999</v>
      </c>
      <c r="V35">
        <v>140.4</v>
      </c>
      <c r="W35">
        <v>158.6</v>
      </c>
      <c r="X35" s="5">
        <f t="shared" si="0"/>
        <v>157.37</v>
      </c>
      <c r="Y35" s="3">
        <f t="shared" si="1"/>
        <v>1.6044161797462535E-2</v>
      </c>
      <c r="Z35" t="str">
        <f t="shared" si="2"/>
        <v>Nov20</v>
      </c>
    </row>
    <row r="36" spans="1:26" x14ac:dyDescent="0.3">
      <c r="A36" t="s">
        <v>34</v>
      </c>
      <c r="B36">
        <v>2020</v>
      </c>
      <c r="C36" t="s">
        <v>46</v>
      </c>
      <c r="D36">
        <v>146</v>
      </c>
      <c r="E36">
        <v>191</v>
      </c>
      <c r="F36">
        <v>175.3</v>
      </c>
      <c r="G36">
        <v>154.1</v>
      </c>
      <c r="H36">
        <v>146.6</v>
      </c>
      <c r="I36">
        <v>147.69999999999999</v>
      </c>
      <c r="J36">
        <v>230.5</v>
      </c>
      <c r="K36">
        <v>160.19999999999999</v>
      </c>
      <c r="L36">
        <v>115.3</v>
      </c>
      <c r="M36">
        <v>163</v>
      </c>
      <c r="N36">
        <v>149.19999999999999</v>
      </c>
      <c r="O36">
        <v>164.8</v>
      </c>
      <c r="P36">
        <v>165.4</v>
      </c>
      <c r="Q36">
        <v>155</v>
      </c>
      <c r="R36">
        <v>145.4</v>
      </c>
      <c r="S36">
        <v>153.6</v>
      </c>
      <c r="T36">
        <v>144.6</v>
      </c>
      <c r="U36">
        <v>158.30000000000001</v>
      </c>
      <c r="V36">
        <v>140.69999999999999</v>
      </c>
      <c r="W36">
        <v>159.4</v>
      </c>
      <c r="X36" s="5">
        <f t="shared" si="0"/>
        <v>158.30500000000001</v>
      </c>
      <c r="Y36" s="3">
        <f t="shared" si="1"/>
        <v>5.9414119590773477E-3</v>
      </c>
      <c r="Z36" t="str">
        <f t="shared" si="2"/>
        <v>Dec20</v>
      </c>
    </row>
    <row r="37" spans="1:26" x14ac:dyDescent="0.3">
      <c r="A37" t="s">
        <v>34</v>
      </c>
      <c r="B37">
        <v>2021</v>
      </c>
      <c r="C37" t="s">
        <v>31</v>
      </c>
      <c r="D37">
        <v>144.9</v>
      </c>
      <c r="E37">
        <v>190.1</v>
      </c>
      <c r="F37">
        <v>175.3</v>
      </c>
      <c r="G37">
        <v>154.1</v>
      </c>
      <c r="H37">
        <v>150.9</v>
      </c>
      <c r="I37">
        <v>149.6</v>
      </c>
      <c r="J37">
        <v>194.2</v>
      </c>
      <c r="K37">
        <v>160.4</v>
      </c>
      <c r="L37">
        <v>114.6</v>
      </c>
      <c r="M37">
        <v>164</v>
      </c>
      <c r="N37">
        <v>151.80000000000001</v>
      </c>
      <c r="O37">
        <v>165.6</v>
      </c>
      <c r="P37">
        <v>161</v>
      </c>
      <c r="Q37">
        <v>155.5</v>
      </c>
      <c r="R37">
        <v>146.1</v>
      </c>
      <c r="S37">
        <v>154.19999999999999</v>
      </c>
      <c r="T37">
        <v>147.9</v>
      </c>
      <c r="U37">
        <v>159.30000000000001</v>
      </c>
      <c r="V37">
        <v>141.9</v>
      </c>
      <c r="W37">
        <v>159.19999999999999</v>
      </c>
      <c r="X37" s="5">
        <f t="shared" si="0"/>
        <v>157.03</v>
      </c>
      <c r="Y37" s="3">
        <f t="shared" si="1"/>
        <v>-8.0540728340861359E-3</v>
      </c>
      <c r="Z37" t="str">
        <f t="shared" si="2"/>
        <v>Jan21</v>
      </c>
    </row>
    <row r="38" spans="1:26" x14ac:dyDescent="0.3">
      <c r="A38" t="s">
        <v>34</v>
      </c>
      <c r="B38">
        <v>2021</v>
      </c>
      <c r="C38" t="s">
        <v>35</v>
      </c>
      <c r="D38">
        <v>144.30000000000001</v>
      </c>
      <c r="E38">
        <v>186.5</v>
      </c>
      <c r="F38">
        <v>168.7</v>
      </c>
      <c r="G38">
        <v>154.69999999999999</v>
      </c>
      <c r="H38">
        <v>158.69999999999999</v>
      </c>
      <c r="I38">
        <v>150.69999999999999</v>
      </c>
      <c r="J38">
        <v>160</v>
      </c>
      <c r="K38">
        <v>158.80000000000001</v>
      </c>
      <c r="L38">
        <v>112.8</v>
      </c>
      <c r="M38">
        <v>164.2</v>
      </c>
      <c r="N38">
        <v>155.5</v>
      </c>
      <c r="O38">
        <v>167.5</v>
      </c>
      <c r="P38">
        <v>156.9</v>
      </c>
      <c r="Q38">
        <v>157.19999999999999</v>
      </c>
      <c r="R38">
        <v>147.4</v>
      </c>
      <c r="S38">
        <v>155.80000000000001</v>
      </c>
      <c r="T38">
        <v>152.4</v>
      </c>
      <c r="U38">
        <v>161.30000000000001</v>
      </c>
      <c r="V38">
        <v>145.1</v>
      </c>
      <c r="W38">
        <v>159.5</v>
      </c>
      <c r="X38" s="5">
        <f t="shared" si="0"/>
        <v>155.90000000000003</v>
      </c>
      <c r="Y38" s="3">
        <f t="shared" si="1"/>
        <v>-7.1960771827037319E-3</v>
      </c>
      <c r="Z38" t="str">
        <f t="shared" si="2"/>
        <v>Feb21</v>
      </c>
    </row>
    <row r="39" spans="1:26" x14ac:dyDescent="0.3">
      <c r="A39" t="s">
        <v>34</v>
      </c>
      <c r="B39">
        <v>2021</v>
      </c>
      <c r="C39" t="s">
        <v>36</v>
      </c>
      <c r="D39">
        <v>144.1</v>
      </c>
      <c r="E39">
        <v>192.2</v>
      </c>
      <c r="F39">
        <v>163.80000000000001</v>
      </c>
      <c r="G39">
        <v>154.9</v>
      </c>
      <c r="H39">
        <v>163.9</v>
      </c>
      <c r="I39">
        <v>153.69999999999999</v>
      </c>
      <c r="J39">
        <v>149.5</v>
      </c>
      <c r="K39">
        <v>159.80000000000001</v>
      </c>
      <c r="L39">
        <v>112.6</v>
      </c>
      <c r="M39">
        <v>163.5</v>
      </c>
      <c r="N39">
        <v>156.5</v>
      </c>
      <c r="O39">
        <v>168.2</v>
      </c>
      <c r="P39">
        <v>156.69999999999999</v>
      </c>
      <c r="Q39">
        <v>157.80000000000001</v>
      </c>
      <c r="R39">
        <v>147.9</v>
      </c>
      <c r="S39">
        <v>156.4</v>
      </c>
      <c r="T39">
        <v>155.5</v>
      </c>
      <c r="U39">
        <v>161.69999999999999</v>
      </c>
      <c r="V39">
        <v>146.19999999999999</v>
      </c>
      <c r="W39">
        <v>160.19999999999999</v>
      </c>
      <c r="X39" s="5">
        <f t="shared" si="0"/>
        <v>156.25499999999997</v>
      </c>
      <c r="Y39" s="3">
        <f t="shared" si="1"/>
        <v>2.2771007055800694E-3</v>
      </c>
      <c r="Z39" t="str">
        <f t="shared" si="2"/>
        <v>Mar21</v>
      </c>
    </row>
    <row r="40" spans="1:26" x14ac:dyDescent="0.3">
      <c r="A40" t="s">
        <v>34</v>
      </c>
      <c r="B40">
        <v>2021</v>
      </c>
      <c r="C40" t="s">
        <v>37</v>
      </c>
      <c r="D40">
        <v>144.30000000000001</v>
      </c>
      <c r="E40">
        <v>198</v>
      </c>
      <c r="F40">
        <v>164.6</v>
      </c>
      <c r="G40">
        <v>155.4</v>
      </c>
      <c r="H40">
        <v>170.1</v>
      </c>
      <c r="I40">
        <v>164.4</v>
      </c>
      <c r="J40">
        <v>144.1</v>
      </c>
      <c r="K40">
        <v>161.69999999999999</v>
      </c>
      <c r="L40">
        <v>113.1</v>
      </c>
      <c r="M40">
        <v>163.9</v>
      </c>
      <c r="N40">
        <v>157.6</v>
      </c>
      <c r="O40">
        <v>168.9</v>
      </c>
      <c r="P40">
        <v>158</v>
      </c>
      <c r="Q40">
        <v>158.80000000000001</v>
      </c>
      <c r="R40">
        <v>148.5</v>
      </c>
      <c r="S40">
        <v>157.30000000000001</v>
      </c>
      <c r="T40">
        <v>155.6</v>
      </c>
      <c r="U40">
        <v>162.30000000000001</v>
      </c>
      <c r="V40">
        <v>146.6</v>
      </c>
      <c r="W40">
        <v>160.30000000000001</v>
      </c>
      <c r="X40" s="5">
        <f t="shared" si="0"/>
        <v>157.67500000000001</v>
      </c>
      <c r="Y40" s="3">
        <f t="shared" si="1"/>
        <v>9.0877091933060997E-3</v>
      </c>
      <c r="Z40" t="str">
        <f t="shared" si="2"/>
        <v>Apr21</v>
      </c>
    </row>
    <row r="41" spans="1:26" x14ac:dyDescent="0.3">
      <c r="A41" t="s">
        <v>34</v>
      </c>
      <c r="B41">
        <v>2021</v>
      </c>
      <c r="C41" t="s">
        <v>38</v>
      </c>
      <c r="D41">
        <v>146.30000000000001</v>
      </c>
      <c r="E41">
        <v>200.5</v>
      </c>
      <c r="F41">
        <v>170.3</v>
      </c>
      <c r="G41">
        <v>156.1</v>
      </c>
      <c r="H41">
        <v>178.7</v>
      </c>
      <c r="I41">
        <v>167.1</v>
      </c>
      <c r="J41">
        <v>147.9</v>
      </c>
      <c r="K41">
        <v>165.4</v>
      </c>
      <c r="L41">
        <v>114.8</v>
      </c>
      <c r="M41">
        <v>168.2</v>
      </c>
      <c r="N41">
        <v>159.30000000000001</v>
      </c>
      <c r="O41">
        <v>170.4</v>
      </c>
      <c r="P41">
        <v>160.69999999999999</v>
      </c>
      <c r="Q41">
        <v>161.80000000000001</v>
      </c>
      <c r="R41">
        <v>152.1</v>
      </c>
      <c r="S41">
        <v>160.4</v>
      </c>
      <c r="T41">
        <v>159.4</v>
      </c>
      <c r="U41">
        <v>165.8</v>
      </c>
      <c r="V41">
        <v>148.9</v>
      </c>
      <c r="W41">
        <v>161.19999999999999</v>
      </c>
      <c r="X41" s="5">
        <f t="shared" si="0"/>
        <v>160.76500000000004</v>
      </c>
      <c r="Y41" s="3">
        <f t="shared" si="1"/>
        <v>1.9597272871412916E-2</v>
      </c>
      <c r="Z41" t="str">
        <f t="shared" si="2"/>
        <v>May21</v>
      </c>
    </row>
    <row r="42" spans="1:26" x14ac:dyDescent="0.3">
      <c r="A42" t="s">
        <v>34</v>
      </c>
      <c r="B42">
        <v>2021</v>
      </c>
      <c r="C42" t="s">
        <v>39</v>
      </c>
      <c r="D42">
        <v>146.69999999999999</v>
      </c>
      <c r="E42">
        <v>202</v>
      </c>
      <c r="F42">
        <v>180.7</v>
      </c>
      <c r="G42">
        <v>156.19999999999999</v>
      </c>
      <c r="H42">
        <v>183.7</v>
      </c>
      <c r="I42">
        <v>164.6</v>
      </c>
      <c r="J42">
        <v>155.4</v>
      </c>
      <c r="K42">
        <v>166</v>
      </c>
      <c r="L42">
        <v>115.1</v>
      </c>
      <c r="M42">
        <v>168.5</v>
      </c>
      <c r="N42">
        <v>160</v>
      </c>
      <c r="O42">
        <v>172.4</v>
      </c>
      <c r="P42">
        <v>162.6</v>
      </c>
      <c r="Q42">
        <v>162.19999999999999</v>
      </c>
      <c r="R42">
        <v>151.80000000000001</v>
      </c>
      <c r="S42">
        <v>160.69999999999999</v>
      </c>
      <c r="T42">
        <v>159.80000000000001</v>
      </c>
      <c r="U42">
        <v>166.3</v>
      </c>
      <c r="V42">
        <v>150.69999999999999</v>
      </c>
      <c r="W42">
        <v>161.69999999999999</v>
      </c>
      <c r="X42" s="5">
        <f t="shared" si="0"/>
        <v>162.35499999999999</v>
      </c>
      <c r="Y42" s="3">
        <f t="shared" si="1"/>
        <v>9.8902124218576571E-3</v>
      </c>
      <c r="Z42" t="str">
        <f t="shared" si="2"/>
        <v>Jun21</v>
      </c>
    </row>
    <row r="43" spans="1:26" x14ac:dyDescent="0.3">
      <c r="A43" t="s">
        <v>34</v>
      </c>
      <c r="B43">
        <v>2021</v>
      </c>
      <c r="C43" t="s">
        <v>40</v>
      </c>
      <c r="D43">
        <v>146.4</v>
      </c>
      <c r="E43">
        <v>206.8</v>
      </c>
      <c r="F43">
        <v>182.2</v>
      </c>
      <c r="G43">
        <v>157.5</v>
      </c>
      <c r="H43">
        <v>182.1</v>
      </c>
      <c r="I43">
        <v>163.9</v>
      </c>
      <c r="J43">
        <v>164.2</v>
      </c>
      <c r="K43">
        <v>164</v>
      </c>
      <c r="L43">
        <v>114.5</v>
      </c>
      <c r="M43">
        <v>168.3</v>
      </c>
      <c r="N43">
        <v>160.9</v>
      </c>
      <c r="O43">
        <v>172.2</v>
      </c>
      <c r="P43">
        <v>164</v>
      </c>
      <c r="Q43">
        <v>162.80000000000001</v>
      </c>
      <c r="R43">
        <v>153.1</v>
      </c>
      <c r="S43">
        <v>161.4</v>
      </c>
      <c r="T43">
        <v>160.69999999999999</v>
      </c>
      <c r="U43">
        <v>167</v>
      </c>
      <c r="V43">
        <v>153.1</v>
      </c>
      <c r="W43">
        <v>163.19999999999999</v>
      </c>
      <c r="X43" s="5">
        <f t="shared" si="0"/>
        <v>163.41499999999999</v>
      </c>
      <c r="Y43" s="3">
        <f t="shared" si="1"/>
        <v>6.5289027131902461E-3</v>
      </c>
      <c r="Z43" t="str">
        <f t="shared" si="2"/>
        <v>Jul21</v>
      </c>
    </row>
    <row r="44" spans="1:26" x14ac:dyDescent="0.3">
      <c r="A44" t="s">
        <v>34</v>
      </c>
      <c r="B44">
        <v>2021</v>
      </c>
      <c r="C44" t="s">
        <v>41</v>
      </c>
      <c r="D44">
        <v>146.6</v>
      </c>
      <c r="E44">
        <v>204</v>
      </c>
      <c r="F44">
        <v>172.8</v>
      </c>
      <c r="G44">
        <v>158.4</v>
      </c>
      <c r="H44">
        <v>188</v>
      </c>
      <c r="I44">
        <v>156.80000000000001</v>
      </c>
      <c r="J44">
        <v>162.19999999999999</v>
      </c>
      <c r="K44">
        <v>164.1</v>
      </c>
      <c r="L44">
        <v>119.7</v>
      </c>
      <c r="M44">
        <v>168.8</v>
      </c>
      <c r="N44">
        <v>162.69999999999999</v>
      </c>
      <c r="O44">
        <v>173.9</v>
      </c>
      <c r="P44">
        <v>164</v>
      </c>
      <c r="Q44">
        <v>164.5</v>
      </c>
      <c r="R44">
        <v>155.30000000000001</v>
      </c>
      <c r="S44">
        <v>163.19999999999999</v>
      </c>
      <c r="T44">
        <v>162.6</v>
      </c>
      <c r="U44">
        <v>168.4</v>
      </c>
      <c r="V44">
        <v>154</v>
      </c>
      <c r="W44">
        <v>163.80000000000001</v>
      </c>
      <c r="X44" s="5">
        <f t="shared" si="0"/>
        <v>163.69</v>
      </c>
      <c r="Y44" s="3">
        <f t="shared" si="1"/>
        <v>1.6828320533611094E-3</v>
      </c>
      <c r="Z44" t="str">
        <f t="shared" si="2"/>
        <v>Aug21</v>
      </c>
    </row>
    <row r="45" spans="1:26" x14ac:dyDescent="0.3">
      <c r="A45" t="s">
        <v>34</v>
      </c>
      <c r="B45">
        <v>2021</v>
      </c>
      <c r="C45" t="s">
        <v>42</v>
      </c>
      <c r="D45">
        <v>146.6</v>
      </c>
      <c r="E45">
        <v>204</v>
      </c>
      <c r="F45">
        <v>172.8</v>
      </c>
      <c r="G45">
        <v>158.4</v>
      </c>
      <c r="H45">
        <v>188</v>
      </c>
      <c r="I45">
        <v>156.69999999999999</v>
      </c>
      <c r="J45">
        <v>162.30000000000001</v>
      </c>
      <c r="K45">
        <v>164.1</v>
      </c>
      <c r="L45">
        <v>119.7</v>
      </c>
      <c r="M45">
        <v>168.8</v>
      </c>
      <c r="N45">
        <v>162.69999999999999</v>
      </c>
      <c r="O45">
        <v>173.9</v>
      </c>
      <c r="P45">
        <v>164</v>
      </c>
      <c r="Q45">
        <v>164.6</v>
      </c>
      <c r="R45">
        <v>155.30000000000001</v>
      </c>
      <c r="S45">
        <v>163.30000000000001</v>
      </c>
      <c r="T45">
        <v>162.6</v>
      </c>
      <c r="U45">
        <v>168.4</v>
      </c>
      <c r="V45">
        <v>154</v>
      </c>
      <c r="W45">
        <v>163.69999999999999</v>
      </c>
      <c r="X45" s="5">
        <f t="shared" si="0"/>
        <v>163.69499999999999</v>
      </c>
      <c r="Y45" s="3">
        <f t="shared" si="1"/>
        <v>3.0545543405189396E-5</v>
      </c>
      <c r="Z45" t="str">
        <f t="shared" si="2"/>
        <v>Sep21</v>
      </c>
    </row>
    <row r="46" spans="1:26" x14ac:dyDescent="0.3">
      <c r="A46" t="s">
        <v>34</v>
      </c>
      <c r="B46">
        <v>2021</v>
      </c>
      <c r="C46" t="s">
        <v>43</v>
      </c>
      <c r="D46">
        <v>147.4</v>
      </c>
      <c r="E46">
        <v>204.6</v>
      </c>
      <c r="F46">
        <v>171.2</v>
      </c>
      <c r="G46">
        <v>158.69999999999999</v>
      </c>
      <c r="H46">
        <v>190.6</v>
      </c>
      <c r="I46">
        <v>155.69999999999999</v>
      </c>
      <c r="J46">
        <v>185.3</v>
      </c>
      <c r="K46">
        <v>165.2</v>
      </c>
      <c r="L46">
        <v>121.9</v>
      </c>
      <c r="M46">
        <v>169.3</v>
      </c>
      <c r="N46">
        <v>163.19999999999999</v>
      </c>
      <c r="O46">
        <v>174.7</v>
      </c>
      <c r="P46">
        <v>167.7</v>
      </c>
      <c r="Q46">
        <v>165.7</v>
      </c>
      <c r="R46">
        <v>156.30000000000001</v>
      </c>
      <c r="S46">
        <v>164.3</v>
      </c>
      <c r="T46">
        <v>164.2</v>
      </c>
      <c r="U46">
        <v>169.1</v>
      </c>
      <c r="V46">
        <v>155.69999999999999</v>
      </c>
      <c r="W46">
        <v>163.9</v>
      </c>
      <c r="X46" s="5">
        <f t="shared" si="0"/>
        <v>165.73499999999999</v>
      </c>
      <c r="Y46" s="3">
        <f t="shared" si="1"/>
        <v>1.2462201044625627E-2</v>
      </c>
      <c r="Z46" t="str">
        <f t="shared" si="2"/>
        <v>Oct21</v>
      </c>
    </row>
    <row r="47" spans="1:26" x14ac:dyDescent="0.3">
      <c r="A47" t="s">
        <v>34</v>
      </c>
      <c r="B47">
        <v>2021</v>
      </c>
      <c r="C47" t="s">
        <v>45</v>
      </c>
      <c r="D47">
        <v>148.19999999999999</v>
      </c>
      <c r="E47">
        <v>201.6</v>
      </c>
      <c r="F47">
        <v>173</v>
      </c>
      <c r="G47">
        <v>159.30000000000001</v>
      </c>
      <c r="H47">
        <v>190.1</v>
      </c>
      <c r="I47">
        <v>156.5</v>
      </c>
      <c r="J47">
        <v>199.2</v>
      </c>
      <c r="K47">
        <v>165.3</v>
      </c>
      <c r="L47">
        <v>122.4</v>
      </c>
      <c r="M47">
        <v>169.6</v>
      </c>
      <c r="N47">
        <v>163.69999999999999</v>
      </c>
      <c r="O47">
        <v>175.5</v>
      </c>
      <c r="P47">
        <v>169.7</v>
      </c>
      <c r="Q47">
        <v>167.2</v>
      </c>
      <c r="R47">
        <v>157.4</v>
      </c>
      <c r="S47">
        <v>165.8</v>
      </c>
      <c r="T47">
        <v>163.9</v>
      </c>
      <c r="U47">
        <v>169.9</v>
      </c>
      <c r="V47">
        <v>154.80000000000001</v>
      </c>
      <c r="W47">
        <v>164.3</v>
      </c>
      <c r="X47" s="5">
        <f t="shared" si="0"/>
        <v>166.87000000000003</v>
      </c>
      <c r="Y47" s="3">
        <f t="shared" si="1"/>
        <v>6.8482818957977965E-3</v>
      </c>
      <c r="Z47" t="str">
        <f t="shared" si="2"/>
        <v>Nov21</v>
      </c>
    </row>
    <row r="48" spans="1:26" x14ac:dyDescent="0.3">
      <c r="A48" t="s">
        <v>34</v>
      </c>
      <c r="B48">
        <v>2021</v>
      </c>
      <c r="C48" t="s">
        <v>46</v>
      </c>
      <c r="D48">
        <v>148.69999999999999</v>
      </c>
      <c r="E48">
        <v>198.8</v>
      </c>
      <c r="F48">
        <v>177.9</v>
      </c>
      <c r="G48">
        <v>159.9</v>
      </c>
      <c r="H48">
        <v>187.6</v>
      </c>
      <c r="I48">
        <v>154.9</v>
      </c>
      <c r="J48">
        <v>188.3</v>
      </c>
      <c r="K48">
        <v>164.4</v>
      </c>
      <c r="L48">
        <v>121</v>
      </c>
      <c r="M48">
        <v>170.5</v>
      </c>
      <c r="N48">
        <v>164.2</v>
      </c>
      <c r="O48">
        <v>176.5</v>
      </c>
      <c r="P48">
        <v>168.2</v>
      </c>
      <c r="Q48">
        <v>168.5</v>
      </c>
      <c r="R48">
        <v>158.69999999999999</v>
      </c>
      <c r="S48">
        <v>167</v>
      </c>
      <c r="T48">
        <v>164.1</v>
      </c>
      <c r="U48">
        <v>170.6</v>
      </c>
      <c r="V48">
        <v>155.69999999999999</v>
      </c>
      <c r="W48">
        <v>164.4</v>
      </c>
      <c r="X48" s="5">
        <f t="shared" si="0"/>
        <v>166.49499999999998</v>
      </c>
      <c r="Y48" s="3">
        <f t="shared" si="1"/>
        <v>-2.2472583448196605E-3</v>
      </c>
      <c r="Z48" t="str">
        <f t="shared" si="2"/>
        <v>Dec21</v>
      </c>
    </row>
    <row r="58" spans="1:2" x14ac:dyDescent="0.3">
      <c r="A58" s="1" t="s">
        <v>57</v>
      </c>
      <c r="B58" t="s">
        <v>105</v>
      </c>
    </row>
    <row r="59" spans="1:2" x14ac:dyDescent="0.3">
      <c r="A59" s="2">
        <v>2018</v>
      </c>
      <c r="B59" s="3">
        <v>1.0694890344323933E-2</v>
      </c>
    </row>
    <row r="60" spans="1:2" x14ac:dyDescent="0.3">
      <c r="A60" s="13" t="s">
        <v>31</v>
      </c>
      <c r="B60" s="3">
        <v>0</v>
      </c>
    </row>
    <row r="61" spans="1:2" x14ac:dyDescent="0.3">
      <c r="A61" s="13" t="s">
        <v>35</v>
      </c>
      <c r="B61" s="3">
        <v>-6.3383893896099197E-3</v>
      </c>
    </row>
    <row r="62" spans="1:2" x14ac:dyDescent="0.3">
      <c r="A62" s="13" t="s">
        <v>36</v>
      </c>
      <c r="B62" s="3">
        <v>-3.3184617086360447E-4</v>
      </c>
    </row>
    <row r="63" spans="1:2" x14ac:dyDescent="0.3">
      <c r="A63" s="13" t="s">
        <v>37</v>
      </c>
      <c r="B63" s="3">
        <v>2.5449985246387375E-3</v>
      </c>
    </row>
    <row r="64" spans="1:2" x14ac:dyDescent="0.3">
      <c r="A64" s="13" t="s">
        <v>38</v>
      </c>
      <c r="B64" s="3">
        <v>2.8328611898016322E-3</v>
      </c>
    </row>
    <row r="65" spans="1:2" x14ac:dyDescent="0.3">
      <c r="A65" s="13" t="s">
        <v>39</v>
      </c>
      <c r="B65" s="3">
        <v>6.8970577445151456E-3</v>
      </c>
    </row>
    <row r="66" spans="1:2" x14ac:dyDescent="0.3">
      <c r="A66" s="13" t="s">
        <v>40</v>
      </c>
      <c r="B66" s="3">
        <v>9.6553231800625867E-3</v>
      </c>
    </row>
    <row r="67" spans="1:2" x14ac:dyDescent="0.3">
      <c r="A67" s="13" t="s">
        <v>41</v>
      </c>
      <c r="B67" s="3">
        <v>3.1395474721232059E-3</v>
      </c>
    </row>
    <row r="68" spans="1:2" x14ac:dyDescent="0.3">
      <c r="A68" s="13" t="s">
        <v>42</v>
      </c>
      <c r="B68" s="3">
        <v>-5.0723073602416289E-3</v>
      </c>
    </row>
    <row r="69" spans="1:2" x14ac:dyDescent="0.3">
      <c r="A69" s="13" t="s">
        <v>43</v>
      </c>
      <c r="B69" s="3">
        <v>1.8801750009038642E-3</v>
      </c>
    </row>
    <row r="70" spans="1:2" x14ac:dyDescent="0.3">
      <c r="A70" s="13" t="s">
        <v>45</v>
      </c>
      <c r="B70" s="3">
        <v>-3.2480421523704145E-4</v>
      </c>
    </row>
    <row r="71" spans="1:2" x14ac:dyDescent="0.3">
      <c r="A71" s="13" t="s">
        <v>46</v>
      </c>
      <c r="B71" s="3">
        <v>-4.1877256317690431E-3</v>
      </c>
    </row>
    <row r="72" spans="1:2" x14ac:dyDescent="0.3">
      <c r="A72" s="2">
        <v>2019</v>
      </c>
      <c r="B72" s="3">
        <v>7.3059802237031998E-2</v>
      </c>
    </row>
    <row r="73" spans="1:2" x14ac:dyDescent="0.3">
      <c r="A73" s="13" t="s">
        <v>31</v>
      </c>
      <c r="B73" s="3">
        <v>-5.0391531322507375E-3</v>
      </c>
    </row>
    <row r="74" spans="1:2" x14ac:dyDescent="0.3">
      <c r="A74" s="13" t="s">
        <v>35</v>
      </c>
      <c r="B74" s="3">
        <v>1.7125159409731618E-3</v>
      </c>
    </row>
    <row r="75" spans="1:2" x14ac:dyDescent="0.3">
      <c r="A75" s="13" t="s">
        <v>36</v>
      </c>
      <c r="B75" s="3">
        <v>3.2736796158881754E-3</v>
      </c>
    </row>
    <row r="76" spans="1:2" x14ac:dyDescent="0.3">
      <c r="A76" s="13" t="s">
        <v>38</v>
      </c>
      <c r="B76" s="3">
        <v>1.2145602204336451E-2</v>
      </c>
    </row>
    <row r="77" spans="1:2" x14ac:dyDescent="0.3">
      <c r="A77" s="13" t="s">
        <v>39</v>
      </c>
      <c r="B77" s="3">
        <v>8.7760146147506223E-3</v>
      </c>
    </row>
    <row r="78" spans="1:2" x14ac:dyDescent="0.3">
      <c r="A78" s="13" t="s">
        <v>40</v>
      </c>
      <c r="B78" s="3">
        <v>8.9127192670974756E-3</v>
      </c>
    </row>
    <row r="79" spans="1:2" x14ac:dyDescent="0.3">
      <c r="A79" s="13" t="s">
        <v>41</v>
      </c>
      <c r="B79" s="3">
        <v>3.695491500369589E-3</v>
      </c>
    </row>
    <row r="80" spans="1:2" x14ac:dyDescent="0.3">
      <c r="A80" s="13" t="s">
        <v>42</v>
      </c>
      <c r="B80" s="3">
        <v>4.5935900133247266E-3</v>
      </c>
    </row>
    <row r="81" spans="1:14" x14ac:dyDescent="0.3">
      <c r="A81" s="13" t="s">
        <v>43</v>
      </c>
      <c r="B81" s="3">
        <v>1.0750811546650987E-2</v>
      </c>
    </row>
    <row r="82" spans="1:14" x14ac:dyDescent="0.3">
      <c r="A82" s="13" t="s">
        <v>45</v>
      </c>
      <c r="B82" s="3">
        <v>1.0014849604586229E-2</v>
      </c>
    </row>
    <row r="83" spans="1:14" x14ac:dyDescent="0.3">
      <c r="A83" s="13" t="s">
        <v>46</v>
      </c>
      <c r="B83" s="3">
        <v>1.4223681061305322E-2</v>
      </c>
    </row>
    <row r="84" spans="1:14" x14ac:dyDescent="0.3">
      <c r="A84" s="2">
        <v>2020</v>
      </c>
      <c r="B84" s="3">
        <v>6.5752241873303946E-2</v>
      </c>
    </row>
    <row r="85" spans="1:14" x14ac:dyDescent="0.3">
      <c r="A85" s="13" t="s">
        <v>31</v>
      </c>
      <c r="B85" s="3">
        <v>-6.4052860465918678E-4</v>
      </c>
    </row>
    <row r="86" spans="1:14" x14ac:dyDescent="0.3">
      <c r="A86" s="13" t="s">
        <v>35</v>
      </c>
      <c r="B86" s="3">
        <v>-8.5683443529886803E-3</v>
      </c>
    </row>
    <row r="87" spans="1:14" x14ac:dyDescent="0.3">
      <c r="A87" s="13" t="s">
        <v>36</v>
      </c>
      <c r="B87" s="3">
        <v>-4.5933991153450466E-3</v>
      </c>
    </row>
    <row r="88" spans="1:14" x14ac:dyDescent="0.3">
      <c r="A88" s="13" t="s">
        <v>37</v>
      </c>
      <c r="B88" s="3">
        <v>1.845838318236152E-2</v>
      </c>
    </row>
    <row r="89" spans="1:14" x14ac:dyDescent="0.3">
      <c r="A89" s="13" t="s">
        <v>38</v>
      </c>
      <c r="B89" s="3">
        <v>5.0344017452596543E-3</v>
      </c>
      <c r="N89" s="6"/>
    </row>
    <row r="90" spans="1:14" x14ac:dyDescent="0.3">
      <c r="A90" s="13" t="s">
        <v>39</v>
      </c>
      <c r="B90" s="3">
        <v>2.7717482050427142E-3</v>
      </c>
      <c r="G90" s="20" t="s">
        <v>92</v>
      </c>
      <c r="H90" s="30" t="s">
        <v>112</v>
      </c>
      <c r="I90" s="21"/>
      <c r="J90" s="21"/>
      <c r="K90" s="21"/>
      <c r="L90" s="21"/>
      <c r="M90" s="21"/>
      <c r="N90" s="22"/>
    </row>
    <row r="91" spans="1:14" x14ac:dyDescent="0.3">
      <c r="A91" s="13" t="s">
        <v>40</v>
      </c>
      <c r="B91" s="3">
        <v>0</v>
      </c>
      <c r="G91" s="29"/>
      <c r="H91" s="30" t="s">
        <v>113</v>
      </c>
      <c r="I91" s="30"/>
      <c r="J91" s="30"/>
      <c r="K91" s="30"/>
      <c r="L91" s="30"/>
      <c r="M91" s="30"/>
      <c r="N91" s="31"/>
    </row>
    <row r="92" spans="1:14" x14ac:dyDescent="0.3">
      <c r="A92" s="13" t="s">
        <v>41</v>
      </c>
      <c r="B92" s="3">
        <v>1.1855601438656879E-2</v>
      </c>
      <c r="E92" s="34"/>
      <c r="G92" s="29"/>
      <c r="H92" s="30" t="s">
        <v>110</v>
      </c>
      <c r="I92" s="30"/>
      <c r="J92" s="30"/>
      <c r="K92" s="30"/>
      <c r="L92" s="30"/>
      <c r="M92" s="30"/>
      <c r="N92" s="31"/>
    </row>
    <row r="93" spans="1:14" x14ac:dyDescent="0.3">
      <c r="A93" s="13" t="s">
        <v>42</v>
      </c>
      <c r="B93" s="3">
        <v>4.5747761979990894E-3</v>
      </c>
      <c r="E93" s="34"/>
      <c r="F93" s="3"/>
      <c r="G93" s="23"/>
      <c r="H93" s="24" t="s">
        <v>111</v>
      </c>
      <c r="I93" s="32"/>
      <c r="J93" s="32"/>
      <c r="K93" s="32"/>
      <c r="L93" s="32"/>
      <c r="M93" s="32"/>
      <c r="N93" s="33"/>
    </row>
    <row r="94" spans="1:14" x14ac:dyDescent="0.3">
      <c r="A94" s="13" t="s">
        <v>43</v>
      </c>
      <c r="B94" s="3">
        <v>1.4874029420437114E-2</v>
      </c>
    </row>
    <row r="95" spans="1:14" x14ac:dyDescent="0.3">
      <c r="A95" s="13" t="s">
        <v>45</v>
      </c>
      <c r="B95" s="3">
        <v>1.6044161797462535E-2</v>
      </c>
    </row>
    <row r="96" spans="1:14" x14ac:dyDescent="0.3">
      <c r="A96" s="13" t="s">
        <v>46</v>
      </c>
      <c r="B96" s="3">
        <v>5.9414119590773477E-3</v>
      </c>
    </row>
    <row r="97" spans="1:13" x14ac:dyDescent="0.3">
      <c r="A97" s="2">
        <v>2021</v>
      </c>
      <c r="B97" s="3">
        <v>5.090765008092718E-2</v>
      </c>
    </row>
    <row r="98" spans="1:13" x14ac:dyDescent="0.3">
      <c r="A98" s="13" t="s">
        <v>31</v>
      </c>
      <c r="B98" s="3">
        <v>-8.0540728340861359E-3</v>
      </c>
      <c r="M98" s="3"/>
    </row>
    <row r="99" spans="1:13" x14ac:dyDescent="0.3">
      <c r="A99" s="13" t="s">
        <v>35</v>
      </c>
      <c r="B99" s="3">
        <v>-7.1960771827037319E-3</v>
      </c>
    </row>
    <row r="100" spans="1:13" x14ac:dyDescent="0.3">
      <c r="A100" s="13" t="s">
        <v>36</v>
      </c>
      <c r="B100" s="3">
        <v>2.2771007055800694E-3</v>
      </c>
    </row>
    <row r="101" spans="1:13" x14ac:dyDescent="0.3">
      <c r="A101" s="13" t="s">
        <v>37</v>
      </c>
      <c r="B101" s="3">
        <v>9.0877091933060997E-3</v>
      </c>
    </row>
    <row r="102" spans="1:13" x14ac:dyDescent="0.3">
      <c r="A102" s="13" t="s">
        <v>38</v>
      </c>
      <c r="B102" s="3">
        <v>1.9597272871412916E-2</v>
      </c>
    </row>
    <row r="103" spans="1:13" x14ac:dyDescent="0.3">
      <c r="A103" s="13" t="s">
        <v>39</v>
      </c>
      <c r="B103" s="3">
        <v>9.8902124218576571E-3</v>
      </c>
    </row>
    <row r="104" spans="1:13" x14ac:dyDescent="0.3">
      <c r="A104" s="13" t="s">
        <v>40</v>
      </c>
      <c r="B104" s="3">
        <v>6.5289027131902461E-3</v>
      </c>
    </row>
    <row r="105" spans="1:13" x14ac:dyDescent="0.3">
      <c r="A105" s="13" t="s">
        <v>41</v>
      </c>
      <c r="B105" s="3">
        <v>1.6828320533611094E-3</v>
      </c>
    </row>
    <row r="106" spans="1:13" x14ac:dyDescent="0.3">
      <c r="A106" s="13" t="s">
        <v>42</v>
      </c>
      <c r="B106" s="3">
        <v>3.0545543405189396E-5</v>
      </c>
    </row>
    <row r="107" spans="1:13" x14ac:dyDescent="0.3">
      <c r="A107" s="13" t="s">
        <v>43</v>
      </c>
      <c r="B107" s="3">
        <v>1.2462201044625627E-2</v>
      </c>
    </row>
    <row r="108" spans="1:13" x14ac:dyDescent="0.3">
      <c r="A108" s="13" t="s">
        <v>45</v>
      </c>
      <c r="B108" s="3">
        <v>6.8482818957977965E-3</v>
      </c>
    </row>
    <row r="109" spans="1:13" x14ac:dyDescent="0.3">
      <c r="A109" s="13" t="s">
        <v>46</v>
      </c>
      <c r="B109" s="3">
        <v>-2.2472583448196605E-3</v>
      </c>
    </row>
    <row r="110" spans="1:13" x14ac:dyDescent="0.3">
      <c r="A110" s="2" t="s">
        <v>58</v>
      </c>
      <c r="B110" s="3">
        <v>0.20041458453558714</v>
      </c>
    </row>
    <row r="114" spans="1:2" x14ac:dyDescent="0.3">
      <c r="A114" s="1" t="s">
        <v>57</v>
      </c>
      <c r="B114" t="s">
        <v>105</v>
      </c>
    </row>
    <row r="115" spans="1:2" x14ac:dyDescent="0.3">
      <c r="A115" s="2">
        <v>2018</v>
      </c>
      <c r="B115" s="3">
        <v>1.0694890344323933E-2</v>
      </c>
    </row>
    <row r="116" spans="1:2" x14ac:dyDescent="0.3">
      <c r="A116" s="13" t="s">
        <v>31</v>
      </c>
      <c r="B116" s="3">
        <v>0</v>
      </c>
    </row>
    <row r="117" spans="1:2" x14ac:dyDescent="0.3">
      <c r="A117" s="13" t="s">
        <v>35</v>
      </c>
      <c r="B117" s="3">
        <v>-6.3383893896099197E-3</v>
      </c>
    </row>
    <row r="118" spans="1:2" x14ac:dyDescent="0.3">
      <c r="A118" s="13" t="s">
        <v>36</v>
      </c>
      <c r="B118" s="3">
        <v>-3.3184617086360447E-4</v>
      </c>
    </row>
    <row r="119" spans="1:2" x14ac:dyDescent="0.3">
      <c r="A119" s="13" t="s">
        <v>37</v>
      </c>
      <c r="B119" s="3">
        <v>2.5449985246387375E-3</v>
      </c>
    </row>
    <row r="120" spans="1:2" x14ac:dyDescent="0.3">
      <c r="A120" s="13" t="s">
        <v>38</v>
      </c>
      <c r="B120" s="3">
        <v>2.8328611898016322E-3</v>
      </c>
    </row>
    <row r="121" spans="1:2" x14ac:dyDescent="0.3">
      <c r="A121" s="13" t="s">
        <v>39</v>
      </c>
      <c r="B121" s="3">
        <v>6.8970577445151456E-3</v>
      </c>
    </row>
    <row r="122" spans="1:2" x14ac:dyDescent="0.3">
      <c r="A122" s="13" t="s">
        <v>40</v>
      </c>
      <c r="B122" s="3">
        <v>9.6553231800625867E-3</v>
      </c>
    </row>
    <row r="123" spans="1:2" x14ac:dyDescent="0.3">
      <c r="A123" s="13" t="s">
        <v>41</v>
      </c>
      <c r="B123" s="3">
        <v>3.1395474721232059E-3</v>
      </c>
    </row>
    <row r="124" spans="1:2" x14ac:dyDescent="0.3">
      <c r="A124" s="13" t="s">
        <v>42</v>
      </c>
      <c r="B124" s="3">
        <v>-5.0723073602416289E-3</v>
      </c>
    </row>
    <row r="125" spans="1:2" x14ac:dyDescent="0.3">
      <c r="A125" s="13" t="s">
        <v>43</v>
      </c>
      <c r="B125" s="3">
        <v>1.8801750009038642E-3</v>
      </c>
    </row>
    <row r="126" spans="1:2" x14ac:dyDescent="0.3">
      <c r="A126" s="13" t="s">
        <v>45</v>
      </c>
      <c r="B126" s="3">
        <v>-3.2480421523704145E-4</v>
      </c>
    </row>
    <row r="127" spans="1:2" x14ac:dyDescent="0.3">
      <c r="A127" s="13" t="s">
        <v>46</v>
      </c>
      <c r="B127" s="3">
        <v>-4.1877256317690431E-3</v>
      </c>
    </row>
    <row r="128" spans="1:2" x14ac:dyDescent="0.3">
      <c r="A128" s="2">
        <v>2019</v>
      </c>
      <c r="B128" s="3">
        <v>7.3059802237031998E-2</v>
      </c>
    </row>
    <row r="129" spans="1:2" x14ac:dyDescent="0.3">
      <c r="A129" s="13" t="s">
        <v>31</v>
      </c>
      <c r="B129" s="3">
        <v>-5.0391531322507375E-3</v>
      </c>
    </row>
    <row r="130" spans="1:2" x14ac:dyDescent="0.3">
      <c r="A130" s="13" t="s">
        <v>35</v>
      </c>
      <c r="B130" s="3">
        <v>1.7125159409731618E-3</v>
      </c>
    </row>
    <row r="131" spans="1:2" x14ac:dyDescent="0.3">
      <c r="A131" s="13" t="s">
        <v>36</v>
      </c>
      <c r="B131" s="3">
        <v>3.2736796158881754E-3</v>
      </c>
    </row>
    <row r="132" spans="1:2" x14ac:dyDescent="0.3">
      <c r="A132" s="13" t="s">
        <v>38</v>
      </c>
      <c r="B132" s="3">
        <v>1.2145602204336451E-2</v>
      </c>
    </row>
    <row r="133" spans="1:2" x14ac:dyDescent="0.3">
      <c r="A133" s="13" t="s">
        <v>39</v>
      </c>
      <c r="B133" s="3">
        <v>8.7760146147506223E-3</v>
      </c>
    </row>
    <row r="134" spans="1:2" x14ac:dyDescent="0.3">
      <c r="A134" s="13" t="s">
        <v>40</v>
      </c>
      <c r="B134" s="3">
        <v>8.9127192670974756E-3</v>
      </c>
    </row>
    <row r="135" spans="1:2" x14ac:dyDescent="0.3">
      <c r="A135" s="13" t="s">
        <v>41</v>
      </c>
      <c r="B135" s="3">
        <v>3.695491500369589E-3</v>
      </c>
    </row>
    <row r="136" spans="1:2" x14ac:dyDescent="0.3">
      <c r="A136" s="13" t="s">
        <v>42</v>
      </c>
      <c r="B136" s="3">
        <v>4.5935900133247266E-3</v>
      </c>
    </row>
    <row r="137" spans="1:2" x14ac:dyDescent="0.3">
      <c r="A137" s="13" t="s">
        <v>43</v>
      </c>
      <c r="B137" s="3">
        <v>1.0750811546650987E-2</v>
      </c>
    </row>
    <row r="138" spans="1:2" x14ac:dyDescent="0.3">
      <c r="A138" s="13" t="s">
        <v>45</v>
      </c>
      <c r="B138" s="3">
        <v>1.0014849604586229E-2</v>
      </c>
    </row>
    <row r="139" spans="1:2" x14ac:dyDescent="0.3">
      <c r="A139" s="13" t="s">
        <v>46</v>
      </c>
      <c r="B139" s="3">
        <v>1.4223681061305322E-2</v>
      </c>
    </row>
    <row r="140" spans="1:2" x14ac:dyDescent="0.3">
      <c r="A140" s="2">
        <v>2020</v>
      </c>
      <c r="B140" s="3">
        <v>-9.2088729576478671E-3</v>
      </c>
    </row>
    <row r="141" spans="1:2" x14ac:dyDescent="0.3">
      <c r="A141" s="13" t="s">
        <v>31</v>
      </c>
      <c r="B141" s="3">
        <v>-6.4052860465918678E-4</v>
      </c>
    </row>
    <row r="142" spans="1:2" x14ac:dyDescent="0.3">
      <c r="A142" s="13" t="s">
        <v>35</v>
      </c>
      <c r="B142" s="3">
        <v>-8.5683443529886803E-3</v>
      </c>
    </row>
    <row r="143" spans="1:2" x14ac:dyDescent="0.3">
      <c r="A143" s="2" t="s">
        <v>58</v>
      </c>
      <c r="B143" s="3">
        <v>7.4545819623708071E-2</v>
      </c>
    </row>
    <row r="148" spans="1:2" x14ac:dyDescent="0.3">
      <c r="A148" s="1" t="s">
        <v>57</v>
      </c>
      <c r="B148" t="s">
        <v>105</v>
      </c>
    </row>
    <row r="149" spans="1:2" x14ac:dyDescent="0.3">
      <c r="A149" s="2">
        <v>2020</v>
      </c>
      <c r="B149" s="3">
        <v>6.5752241873303946E-2</v>
      </c>
    </row>
    <row r="150" spans="1:2" x14ac:dyDescent="0.3">
      <c r="A150" s="13" t="s">
        <v>31</v>
      </c>
      <c r="B150" s="3">
        <v>-6.4052860465918678E-4</v>
      </c>
    </row>
    <row r="151" spans="1:2" x14ac:dyDescent="0.3">
      <c r="A151" s="13" t="s">
        <v>35</v>
      </c>
      <c r="B151" s="3">
        <v>-8.5683443529886803E-3</v>
      </c>
    </row>
    <row r="152" spans="1:2" x14ac:dyDescent="0.3">
      <c r="A152" s="13" t="s">
        <v>36</v>
      </c>
      <c r="B152" s="3">
        <v>-4.5933991153450466E-3</v>
      </c>
    </row>
    <row r="153" spans="1:2" x14ac:dyDescent="0.3">
      <c r="A153" s="13" t="s">
        <v>37</v>
      </c>
      <c r="B153" s="3">
        <v>1.845838318236152E-2</v>
      </c>
    </row>
    <row r="154" spans="1:2" x14ac:dyDescent="0.3">
      <c r="A154" s="13" t="s">
        <v>38</v>
      </c>
      <c r="B154" s="3">
        <v>5.0344017452596543E-3</v>
      </c>
    </row>
    <row r="155" spans="1:2" x14ac:dyDescent="0.3">
      <c r="A155" s="13" t="s">
        <v>39</v>
      </c>
      <c r="B155" s="3">
        <v>2.7717482050427142E-3</v>
      </c>
    </row>
    <row r="156" spans="1:2" x14ac:dyDescent="0.3">
      <c r="A156" s="13" t="s">
        <v>40</v>
      </c>
      <c r="B156" s="3">
        <v>0</v>
      </c>
    </row>
    <row r="157" spans="1:2" x14ac:dyDescent="0.3">
      <c r="A157" s="13" t="s">
        <v>41</v>
      </c>
      <c r="B157" s="3">
        <v>1.1855601438656879E-2</v>
      </c>
    </row>
    <row r="158" spans="1:2" x14ac:dyDescent="0.3">
      <c r="A158" s="13" t="s">
        <v>42</v>
      </c>
      <c r="B158" s="3">
        <v>4.5747761979990894E-3</v>
      </c>
    </row>
    <row r="159" spans="1:2" x14ac:dyDescent="0.3">
      <c r="A159" s="13" t="s">
        <v>43</v>
      </c>
      <c r="B159" s="3">
        <v>1.4874029420437114E-2</v>
      </c>
    </row>
    <row r="160" spans="1:2" x14ac:dyDescent="0.3">
      <c r="A160" s="13" t="s">
        <v>45</v>
      </c>
      <c r="B160" s="3">
        <v>1.6044161797462535E-2</v>
      </c>
    </row>
    <row r="161" spans="1:2" x14ac:dyDescent="0.3">
      <c r="A161" s="13" t="s">
        <v>46</v>
      </c>
      <c r="B161" s="3">
        <v>5.9414119590773477E-3</v>
      </c>
    </row>
    <row r="162" spans="1:2" x14ac:dyDescent="0.3">
      <c r="A162" s="2">
        <v>2021</v>
      </c>
      <c r="B162" s="3">
        <v>5.090765008092718E-2</v>
      </c>
    </row>
    <row r="163" spans="1:2" x14ac:dyDescent="0.3">
      <c r="A163" s="13" t="s">
        <v>31</v>
      </c>
      <c r="B163" s="3">
        <v>-8.0540728340861359E-3</v>
      </c>
    </row>
    <row r="164" spans="1:2" x14ac:dyDescent="0.3">
      <c r="A164" s="13" t="s">
        <v>35</v>
      </c>
      <c r="B164" s="3">
        <v>-7.1960771827037319E-3</v>
      </c>
    </row>
    <row r="165" spans="1:2" x14ac:dyDescent="0.3">
      <c r="A165" s="13" t="s">
        <v>36</v>
      </c>
      <c r="B165" s="3">
        <v>2.2771007055800694E-3</v>
      </c>
    </row>
    <row r="166" spans="1:2" x14ac:dyDescent="0.3">
      <c r="A166" s="13" t="s">
        <v>37</v>
      </c>
      <c r="B166" s="3">
        <v>9.0877091933060997E-3</v>
      </c>
    </row>
    <row r="167" spans="1:2" x14ac:dyDescent="0.3">
      <c r="A167" s="13" t="s">
        <v>38</v>
      </c>
      <c r="B167" s="3">
        <v>1.9597272871412916E-2</v>
      </c>
    </row>
    <row r="168" spans="1:2" x14ac:dyDescent="0.3">
      <c r="A168" s="13" t="s">
        <v>39</v>
      </c>
      <c r="B168" s="3">
        <v>9.8902124218576571E-3</v>
      </c>
    </row>
    <row r="169" spans="1:2" x14ac:dyDescent="0.3">
      <c r="A169" s="13" t="s">
        <v>40</v>
      </c>
      <c r="B169" s="3">
        <v>6.5289027131902461E-3</v>
      </c>
    </row>
    <row r="170" spans="1:2" x14ac:dyDescent="0.3">
      <c r="A170" s="13" t="s">
        <v>41</v>
      </c>
      <c r="B170" s="3">
        <v>1.6828320533611094E-3</v>
      </c>
    </row>
    <row r="171" spans="1:2" x14ac:dyDescent="0.3">
      <c r="A171" s="13" t="s">
        <v>42</v>
      </c>
      <c r="B171" s="3">
        <v>3.0545543405189396E-5</v>
      </c>
    </row>
    <row r="172" spans="1:2" x14ac:dyDescent="0.3">
      <c r="A172" s="13" t="s">
        <v>43</v>
      </c>
      <c r="B172" s="3">
        <v>1.2462201044625627E-2</v>
      </c>
    </row>
    <row r="173" spans="1:2" x14ac:dyDescent="0.3">
      <c r="A173" s="13" t="s">
        <v>45</v>
      </c>
      <c r="B173" s="3">
        <v>6.8482818957977965E-3</v>
      </c>
    </row>
    <row r="174" spans="1:2" x14ac:dyDescent="0.3">
      <c r="A174" s="13" t="s">
        <v>46</v>
      </c>
      <c r="B174" s="3">
        <v>-2.2472583448196605E-3</v>
      </c>
    </row>
    <row r="175" spans="1:2" x14ac:dyDescent="0.3">
      <c r="A175" s="2" t="s">
        <v>58</v>
      </c>
      <c r="B175" s="3">
        <v>0.11665989195423113</v>
      </c>
    </row>
  </sheetData>
  <phoneticPr fontId="24" type="noConversion"/>
  <pageMargins left="0.7" right="0.7" top="0.75" bottom="0.75" header="0.3" footer="0.3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6DACC-8455-4F6B-8C16-09D1FC558496}">
  <dimension ref="A1:T76"/>
  <sheetViews>
    <sheetView workbookViewId="0">
      <selection activeCell="D44" sqref="D44"/>
    </sheetView>
  </sheetViews>
  <sheetFormatPr defaultRowHeight="14.4" x14ac:dyDescent="0.3"/>
  <cols>
    <col min="1" max="1" width="12.88671875" bestFit="1" customWidth="1"/>
    <col min="2" max="2" width="22" bestFit="1" customWidth="1"/>
    <col min="3" max="3" width="11.44140625" customWidth="1"/>
    <col min="4" max="4" width="24.109375" bestFit="1" customWidth="1"/>
    <col min="5" max="5" width="20.21875" customWidth="1"/>
    <col min="6" max="6" width="13.77734375" bestFit="1" customWidth="1"/>
    <col min="7" max="7" width="23.109375" bestFit="1" customWidth="1"/>
    <col min="10" max="10" width="13.88671875" bestFit="1" customWidth="1"/>
    <col min="11" max="11" width="20.66406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66</v>
      </c>
      <c r="E1" t="s">
        <v>67</v>
      </c>
      <c r="F1" t="s">
        <v>68</v>
      </c>
      <c r="G1" t="s">
        <v>82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</row>
    <row r="2" spans="1:20" x14ac:dyDescent="0.3">
      <c r="A2" t="s">
        <v>34</v>
      </c>
      <c r="B2">
        <v>2022</v>
      </c>
      <c r="C2" t="s">
        <v>39</v>
      </c>
      <c r="D2" s="5">
        <v>173.99230769230769</v>
      </c>
      <c r="E2" s="6">
        <f>((D2-172.2)/172.2)</f>
        <v>1.040829089609583E-2</v>
      </c>
      <c r="F2" t="str">
        <f t="shared" ref="F2:F13" si="0">_xlfn.TEXTJOIN(  ,TRUE,C2,B2)</f>
        <v>June2022</v>
      </c>
      <c r="G2" s="6">
        <f>ABS(E2)</f>
        <v>1.040829089609583E-2</v>
      </c>
      <c r="H2">
        <v>155</v>
      </c>
      <c r="I2">
        <v>219.4</v>
      </c>
      <c r="J2">
        <v>170.8</v>
      </c>
      <c r="K2">
        <v>165.8</v>
      </c>
      <c r="L2">
        <v>200.9</v>
      </c>
      <c r="M2">
        <v>169.7</v>
      </c>
      <c r="N2">
        <v>182.3</v>
      </c>
      <c r="O2">
        <v>164.3</v>
      </c>
      <c r="P2">
        <v>119.9</v>
      </c>
      <c r="Q2">
        <v>187.1</v>
      </c>
      <c r="R2">
        <v>167.9</v>
      </c>
      <c r="S2">
        <v>183.9</v>
      </c>
      <c r="T2">
        <v>174.9</v>
      </c>
    </row>
    <row r="3" spans="1:20" x14ac:dyDescent="0.3">
      <c r="A3" t="s">
        <v>34</v>
      </c>
      <c r="B3">
        <v>2022</v>
      </c>
      <c r="C3" t="s">
        <v>40</v>
      </c>
      <c r="D3" s="5">
        <v>174.33076923076925</v>
      </c>
      <c r="E3" s="6">
        <f t="shared" ref="E3:E13" si="1">((D3-D2)/D2)*100</f>
        <v>0.19452672531943327</v>
      </c>
      <c r="F3" t="str">
        <f t="shared" si="0"/>
        <v>July2022</v>
      </c>
      <c r="G3" s="6">
        <f t="shared" ref="G3:G13" si="2">ABS(E3)</f>
        <v>0.19452672531943327</v>
      </c>
      <c r="H3">
        <v>156.5</v>
      </c>
      <c r="I3">
        <v>213</v>
      </c>
      <c r="J3">
        <v>175.2</v>
      </c>
      <c r="K3">
        <v>166.6</v>
      </c>
      <c r="L3">
        <v>195.8</v>
      </c>
      <c r="M3">
        <v>174.2</v>
      </c>
      <c r="N3">
        <v>182.1</v>
      </c>
      <c r="O3">
        <v>164.3</v>
      </c>
      <c r="P3">
        <v>120</v>
      </c>
      <c r="Q3">
        <v>190</v>
      </c>
      <c r="R3">
        <v>168.4</v>
      </c>
      <c r="S3">
        <v>185.2</v>
      </c>
      <c r="T3">
        <v>175</v>
      </c>
    </row>
    <row r="4" spans="1:20" x14ac:dyDescent="0.3">
      <c r="A4" t="s">
        <v>34</v>
      </c>
      <c r="B4">
        <v>2022</v>
      </c>
      <c r="C4" t="s">
        <v>41</v>
      </c>
      <c r="D4" s="5">
        <v>174.55384615384617</v>
      </c>
      <c r="E4" s="6">
        <f t="shared" si="1"/>
        <v>0.12796187618585006</v>
      </c>
      <c r="F4" t="str">
        <f t="shared" si="0"/>
        <v>August2022</v>
      </c>
      <c r="G4" s="6">
        <f t="shared" si="2"/>
        <v>0.12796187618585006</v>
      </c>
      <c r="H4">
        <v>160.30000000000001</v>
      </c>
      <c r="I4">
        <v>206.5</v>
      </c>
      <c r="J4">
        <v>169.2</v>
      </c>
      <c r="K4">
        <v>168.1</v>
      </c>
      <c r="L4">
        <v>192.4</v>
      </c>
      <c r="M4">
        <v>172.9</v>
      </c>
      <c r="N4">
        <v>186.7</v>
      </c>
      <c r="O4">
        <v>167.2</v>
      </c>
      <c r="P4">
        <v>120.9</v>
      </c>
      <c r="Q4">
        <v>193.6</v>
      </c>
      <c r="R4">
        <v>168.8</v>
      </c>
      <c r="S4">
        <v>186.3</v>
      </c>
      <c r="T4">
        <v>176.3</v>
      </c>
    </row>
    <row r="5" spans="1:20" x14ac:dyDescent="0.3">
      <c r="A5" t="s">
        <v>34</v>
      </c>
      <c r="B5">
        <v>2022</v>
      </c>
      <c r="C5" t="s">
        <v>42</v>
      </c>
      <c r="D5" s="5">
        <v>175.45384615384617</v>
      </c>
      <c r="E5" s="6">
        <f t="shared" si="1"/>
        <v>0.51560021152829516</v>
      </c>
      <c r="F5" t="str">
        <f t="shared" si="0"/>
        <v>September2022</v>
      </c>
      <c r="G5" s="6">
        <f t="shared" si="2"/>
        <v>0.51560021152829516</v>
      </c>
      <c r="H5">
        <v>163.5</v>
      </c>
      <c r="I5">
        <v>209.2</v>
      </c>
      <c r="J5">
        <v>169.7</v>
      </c>
      <c r="K5">
        <v>169.7</v>
      </c>
      <c r="L5">
        <v>188.7</v>
      </c>
      <c r="M5">
        <v>165.7</v>
      </c>
      <c r="N5">
        <v>191.8</v>
      </c>
      <c r="O5">
        <v>169.1</v>
      </c>
      <c r="P5">
        <v>121.6</v>
      </c>
      <c r="Q5">
        <v>197.3</v>
      </c>
      <c r="R5">
        <v>169.4</v>
      </c>
      <c r="S5">
        <v>187.4</v>
      </c>
      <c r="T5">
        <v>177.8</v>
      </c>
    </row>
    <row r="6" spans="1:20" x14ac:dyDescent="0.3">
      <c r="A6" t="s">
        <v>34</v>
      </c>
      <c r="B6">
        <v>2022</v>
      </c>
      <c r="C6" t="s">
        <v>43</v>
      </c>
      <c r="D6" s="5">
        <v>176.71538461538464</v>
      </c>
      <c r="E6" s="6">
        <f t="shared" si="1"/>
        <v>0.71901442413082706</v>
      </c>
      <c r="F6" t="str">
        <f t="shared" si="0"/>
        <v>October2022</v>
      </c>
      <c r="G6" s="6">
        <f t="shared" si="2"/>
        <v>0.71901442413082706</v>
      </c>
      <c r="H6">
        <v>165.2</v>
      </c>
      <c r="I6">
        <v>210.9</v>
      </c>
      <c r="J6">
        <v>170.9</v>
      </c>
      <c r="K6">
        <v>170.9</v>
      </c>
      <c r="L6">
        <v>186.5</v>
      </c>
      <c r="M6">
        <v>163.80000000000001</v>
      </c>
      <c r="N6">
        <v>199.7</v>
      </c>
      <c r="O6">
        <v>169.8</v>
      </c>
      <c r="P6">
        <v>121.9</v>
      </c>
      <c r="Q6">
        <v>199.9</v>
      </c>
      <c r="R6">
        <v>169.9</v>
      </c>
      <c r="S6">
        <v>188.3</v>
      </c>
      <c r="T6">
        <v>179.6</v>
      </c>
    </row>
    <row r="7" spans="1:20" x14ac:dyDescent="0.3">
      <c r="A7" t="s">
        <v>34</v>
      </c>
      <c r="B7">
        <v>2022</v>
      </c>
      <c r="C7" t="s">
        <v>45</v>
      </c>
      <c r="D7" s="5">
        <v>176.67692307692309</v>
      </c>
      <c r="E7" s="6">
        <f t="shared" si="1"/>
        <v>-2.1764680276851682E-2</v>
      </c>
      <c r="F7" t="str">
        <f t="shared" si="0"/>
        <v>November2022</v>
      </c>
      <c r="G7" s="6">
        <f t="shared" si="2"/>
        <v>2.1764680276851682E-2</v>
      </c>
      <c r="H7">
        <v>167.4</v>
      </c>
      <c r="I7">
        <v>209.4</v>
      </c>
      <c r="J7">
        <v>181.4</v>
      </c>
      <c r="K7">
        <v>172.3</v>
      </c>
      <c r="L7">
        <v>188.9</v>
      </c>
      <c r="M7">
        <v>160.69999999999999</v>
      </c>
      <c r="N7">
        <v>183.1</v>
      </c>
      <c r="O7">
        <v>170.5</v>
      </c>
      <c r="P7">
        <v>122.1</v>
      </c>
      <c r="Q7">
        <v>202.8</v>
      </c>
      <c r="R7">
        <v>170.4</v>
      </c>
      <c r="S7">
        <v>189.5</v>
      </c>
      <c r="T7">
        <v>178.3</v>
      </c>
    </row>
    <row r="8" spans="1:20" x14ac:dyDescent="0.3">
      <c r="A8" t="s">
        <v>34</v>
      </c>
      <c r="B8">
        <v>2022</v>
      </c>
      <c r="C8" t="s">
        <v>46</v>
      </c>
      <c r="D8" s="5">
        <v>175.64615384615385</v>
      </c>
      <c r="E8" s="6">
        <f t="shared" si="1"/>
        <v>-0.58342041100662179</v>
      </c>
      <c r="F8" t="str">
        <f t="shared" si="0"/>
        <v>December2022</v>
      </c>
      <c r="G8" s="6">
        <f t="shared" si="2"/>
        <v>0.58342041100662179</v>
      </c>
      <c r="H8">
        <v>169.2</v>
      </c>
      <c r="I8">
        <v>209</v>
      </c>
      <c r="J8">
        <v>190.2</v>
      </c>
      <c r="K8">
        <v>173.6</v>
      </c>
      <c r="L8">
        <v>188.5</v>
      </c>
      <c r="M8">
        <v>158</v>
      </c>
      <c r="N8">
        <v>159.9</v>
      </c>
      <c r="O8">
        <v>170.8</v>
      </c>
      <c r="P8">
        <v>121.8</v>
      </c>
      <c r="Q8">
        <v>205.2</v>
      </c>
      <c r="R8">
        <v>171</v>
      </c>
      <c r="S8">
        <v>190.3</v>
      </c>
      <c r="T8">
        <v>175.9</v>
      </c>
    </row>
    <row r="9" spans="1:20" x14ac:dyDescent="0.3">
      <c r="A9" t="s">
        <v>34</v>
      </c>
      <c r="B9">
        <v>2023</v>
      </c>
      <c r="C9" t="s">
        <v>31</v>
      </c>
      <c r="D9" s="5">
        <v>176.36153846153846</v>
      </c>
      <c r="E9" s="6">
        <f t="shared" si="1"/>
        <v>0.40728737847069707</v>
      </c>
      <c r="F9" t="str">
        <f t="shared" si="0"/>
        <v>January2023</v>
      </c>
      <c r="G9" s="6">
        <f t="shared" si="2"/>
        <v>0.40728737847069707</v>
      </c>
      <c r="H9">
        <v>173.8</v>
      </c>
      <c r="I9">
        <v>210.7</v>
      </c>
      <c r="J9">
        <v>194.5</v>
      </c>
      <c r="K9">
        <v>174.6</v>
      </c>
      <c r="L9">
        <v>187.2</v>
      </c>
      <c r="M9">
        <v>158.30000000000001</v>
      </c>
      <c r="N9">
        <v>153.9</v>
      </c>
      <c r="O9">
        <v>170.9</v>
      </c>
      <c r="P9">
        <v>121.1</v>
      </c>
      <c r="Q9">
        <v>208.4</v>
      </c>
      <c r="R9">
        <v>171.4</v>
      </c>
      <c r="S9">
        <v>191.2</v>
      </c>
      <c r="T9">
        <v>176.7</v>
      </c>
    </row>
    <row r="10" spans="1:20" x14ac:dyDescent="0.3">
      <c r="A10" t="s">
        <v>34</v>
      </c>
      <c r="B10">
        <v>2023</v>
      </c>
      <c r="C10" t="s">
        <v>35</v>
      </c>
      <c r="D10" s="5">
        <v>175.3153846153846</v>
      </c>
      <c r="E10" s="6">
        <f t="shared" si="1"/>
        <v>-0.59318707201117182</v>
      </c>
      <c r="F10" t="str">
        <f t="shared" si="0"/>
        <v>February2023</v>
      </c>
      <c r="G10" s="6">
        <f t="shared" si="2"/>
        <v>0.59318707201117182</v>
      </c>
      <c r="H10">
        <v>174.4</v>
      </c>
      <c r="I10">
        <v>207.7</v>
      </c>
      <c r="J10">
        <v>175.2</v>
      </c>
      <c r="K10">
        <v>177.3</v>
      </c>
      <c r="L10">
        <v>179.3</v>
      </c>
      <c r="M10">
        <v>169.5</v>
      </c>
      <c r="N10">
        <v>152.69999999999999</v>
      </c>
      <c r="O10">
        <v>171</v>
      </c>
      <c r="P10">
        <v>120</v>
      </c>
      <c r="Q10">
        <v>209.7</v>
      </c>
      <c r="R10">
        <v>172.3</v>
      </c>
      <c r="S10">
        <v>193</v>
      </c>
      <c r="T10">
        <v>177</v>
      </c>
    </row>
    <row r="11" spans="1:20" x14ac:dyDescent="0.3">
      <c r="A11" t="s">
        <v>34</v>
      </c>
      <c r="B11">
        <v>2023</v>
      </c>
      <c r="C11" t="s">
        <v>36</v>
      </c>
      <c r="D11" s="5">
        <v>175.32307692307691</v>
      </c>
      <c r="E11" s="6">
        <f t="shared" si="1"/>
        <v>4.3876968978992913E-3</v>
      </c>
      <c r="F11" t="str">
        <f t="shared" si="0"/>
        <v>March2023</v>
      </c>
      <c r="G11" s="6">
        <f t="shared" si="2"/>
        <v>4.3876968978992913E-3</v>
      </c>
      <c r="H11">
        <v>174.4</v>
      </c>
      <c r="I11">
        <v>207.7</v>
      </c>
      <c r="J11">
        <v>175.2</v>
      </c>
      <c r="K11">
        <v>177.3</v>
      </c>
      <c r="L11">
        <v>179.2</v>
      </c>
      <c r="M11">
        <v>169.5</v>
      </c>
      <c r="N11">
        <v>152.80000000000001</v>
      </c>
      <c r="O11">
        <v>171.1</v>
      </c>
      <c r="P11">
        <v>120</v>
      </c>
      <c r="Q11">
        <v>209.7</v>
      </c>
      <c r="R11">
        <v>172.3</v>
      </c>
      <c r="S11">
        <v>193</v>
      </c>
      <c r="T11">
        <v>177</v>
      </c>
    </row>
    <row r="12" spans="1:20" x14ac:dyDescent="0.3">
      <c r="A12" t="s">
        <v>34</v>
      </c>
      <c r="B12">
        <v>2023</v>
      </c>
      <c r="C12" t="s">
        <v>37</v>
      </c>
      <c r="D12" s="5">
        <v>176.12307692307695</v>
      </c>
      <c r="E12" s="6">
        <f t="shared" si="1"/>
        <v>0.456300456300479</v>
      </c>
      <c r="F12" t="str">
        <f t="shared" si="0"/>
        <v>April2023</v>
      </c>
      <c r="G12" s="6">
        <f t="shared" si="2"/>
        <v>0.456300456300479</v>
      </c>
      <c r="H12">
        <v>173.8</v>
      </c>
      <c r="I12">
        <v>209.3</v>
      </c>
      <c r="J12">
        <v>169.6</v>
      </c>
      <c r="K12">
        <v>178.4</v>
      </c>
      <c r="L12">
        <v>174.9</v>
      </c>
      <c r="M12">
        <v>176.3</v>
      </c>
      <c r="N12">
        <v>155.4</v>
      </c>
      <c r="O12">
        <v>173.4</v>
      </c>
      <c r="P12">
        <v>121.3</v>
      </c>
      <c r="Q12">
        <v>212.9</v>
      </c>
      <c r="R12">
        <v>172.9</v>
      </c>
      <c r="S12">
        <v>193.5</v>
      </c>
      <c r="T12">
        <v>177.9</v>
      </c>
    </row>
    <row r="13" spans="1:20" x14ac:dyDescent="0.3">
      <c r="A13" t="s">
        <v>34</v>
      </c>
      <c r="B13">
        <v>2023</v>
      </c>
      <c r="C13" t="s">
        <v>38</v>
      </c>
      <c r="D13" s="5">
        <v>177.45384615384617</v>
      </c>
      <c r="E13" s="6">
        <f t="shared" si="1"/>
        <v>0.75559049615652807</v>
      </c>
      <c r="F13" t="str">
        <f t="shared" si="0"/>
        <v>May2023</v>
      </c>
      <c r="G13" s="6">
        <f t="shared" si="2"/>
        <v>0.75559049615652807</v>
      </c>
      <c r="H13">
        <v>173.7</v>
      </c>
      <c r="I13">
        <v>214.3</v>
      </c>
      <c r="J13">
        <v>173.2</v>
      </c>
      <c r="K13">
        <v>179.5</v>
      </c>
      <c r="L13">
        <v>170</v>
      </c>
      <c r="M13">
        <v>172.2</v>
      </c>
      <c r="N13">
        <v>161</v>
      </c>
      <c r="O13">
        <v>175.6</v>
      </c>
      <c r="P13">
        <v>122.7</v>
      </c>
      <c r="Q13">
        <v>218</v>
      </c>
      <c r="R13">
        <v>173.4</v>
      </c>
      <c r="S13">
        <v>194.2</v>
      </c>
      <c r="T13">
        <v>179.1</v>
      </c>
    </row>
    <row r="16" spans="1:20" x14ac:dyDescent="0.3">
      <c r="E16" s="11" t="s">
        <v>90</v>
      </c>
      <c r="F16" s="11"/>
      <c r="G16" s="11"/>
      <c r="H16" s="11"/>
      <c r="I16" s="11"/>
      <c r="J16" s="11"/>
      <c r="K16" s="11"/>
    </row>
    <row r="17" spans="1:6" x14ac:dyDescent="0.3">
      <c r="E17" s="12" t="s">
        <v>91</v>
      </c>
      <c r="F17" s="12"/>
    </row>
    <row r="19" spans="1:6" x14ac:dyDescent="0.3">
      <c r="A19" s="1" t="s">
        <v>57</v>
      </c>
      <c r="B19" t="s">
        <v>83</v>
      </c>
      <c r="D19" s="1" t="s">
        <v>57</v>
      </c>
      <c r="E19" t="s">
        <v>81</v>
      </c>
    </row>
    <row r="20" spans="1:6" x14ac:dyDescent="0.3">
      <c r="A20" s="2" t="s">
        <v>69</v>
      </c>
      <c r="B20" s="6">
        <v>0.456300456300479</v>
      </c>
      <c r="D20" s="2" t="s">
        <v>72</v>
      </c>
      <c r="E20" s="6">
        <v>-0.59318707201117182</v>
      </c>
    </row>
    <row r="21" spans="1:6" x14ac:dyDescent="0.3">
      <c r="A21" s="2" t="s">
        <v>70</v>
      </c>
      <c r="B21" s="6">
        <v>0.12796187618585006</v>
      </c>
      <c r="D21" s="2" t="s">
        <v>71</v>
      </c>
      <c r="E21" s="6">
        <v>-0.58342041100662179</v>
      </c>
    </row>
    <row r="22" spans="1:6" x14ac:dyDescent="0.3">
      <c r="A22" s="2" t="s">
        <v>71</v>
      </c>
      <c r="B22" s="6">
        <v>0.58342041100662179</v>
      </c>
      <c r="D22" s="2" t="s">
        <v>78</v>
      </c>
      <c r="E22" s="6">
        <v>-2.1764680276851682E-2</v>
      </c>
    </row>
    <row r="23" spans="1:6" x14ac:dyDescent="0.3">
      <c r="A23" s="2" t="s">
        <v>72</v>
      </c>
      <c r="B23" s="6">
        <v>0.59318707201117182</v>
      </c>
      <c r="D23" s="2" t="s">
        <v>76</v>
      </c>
      <c r="E23" s="6">
        <v>4.3876968978992913E-3</v>
      </c>
    </row>
    <row r="24" spans="1:6" x14ac:dyDescent="0.3">
      <c r="A24" s="2" t="s">
        <v>73</v>
      </c>
      <c r="B24" s="6">
        <v>0.40728737847069707</v>
      </c>
      <c r="D24" s="2" t="s">
        <v>70</v>
      </c>
      <c r="E24" s="6">
        <v>0.12796187618585006</v>
      </c>
    </row>
    <row r="25" spans="1:6" x14ac:dyDescent="0.3">
      <c r="A25" s="2" t="s">
        <v>74</v>
      </c>
      <c r="B25" s="6">
        <v>0.19452672531943327</v>
      </c>
      <c r="D25" s="2" t="s">
        <v>74</v>
      </c>
      <c r="E25" s="6">
        <v>0.19452672531943327</v>
      </c>
    </row>
    <row r="26" spans="1:6" x14ac:dyDescent="0.3">
      <c r="A26" s="2" t="s">
        <v>75</v>
      </c>
      <c r="B26" s="6">
        <v>1.0408290896095831</v>
      </c>
      <c r="D26" s="2" t="s">
        <v>73</v>
      </c>
      <c r="E26" s="6">
        <v>0.40728737847069707</v>
      </c>
    </row>
    <row r="27" spans="1:6" x14ac:dyDescent="0.3">
      <c r="A27" s="2" t="s">
        <v>76</v>
      </c>
      <c r="B27" s="6">
        <v>4.3876968978992913E-3</v>
      </c>
      <c r="D27" s="2" t="s">
        <v>69</v>
      </c>
      <c r="E27" s="6">
        <v>0.456300456300479</v>
      </c>
    </row>
    <row r="28" spans="1:6" x14ac:dyDescent="0.3">
      <c r="A28" s="2" t="s">
        <v>77</v>
      </c>
      <c r="B28" s="6">
        <v>0.75559049615652807</v>
      </c>
      <c r="D28" s="2" t="s">
        <v>80</v>
      </c>
      <c r="E28" s="6">
        <v>0.51560021152829516</v>
      </c>
    </row>
    <row r="29" spans="1:6" x14ac:dyDescent="0.3">
      <c r="A29" s="2" t="s">
        <v>78</v>
      </c>
      <c r="B29" s="6">
        <v>2.1764680276851682E-2</v>
      </c>
      <c r="D29" s="2" t="s">
        <v>79</v>
      </c>
      <c r="E29" s="6">
        <v>0.71901442413082706</v>
      </c>
    </row>
    <row r="30" spans="1:6" x14ac:dyDescent="0.3">
      <c r="A30" s="2" t="s">
        <v>79</v>
      </c>
      <c r="B30" s="6">
        <v>0.71901442413082706</v>
      </c>
      <c r="D30" s="2" t="s">
        <v>77</v>
      </c>
      <c r="E30" s="6">
        <v>0.75559049615652807</v>
      </c>
    </row>
    <row r="31" spans="1:6" x14ac:dyDescent="0.3">
      <c r="A31" s="2" t="s">
        <v>80</v>
      </c>
      <c r="B31" s="6">
        <v>0.51560021152829516</v>
      </c>
      <c r="D31" s="2" t="s">
        <v>75</v>
      </c>
      <c r="E31" s="6">
        <v>1.0408290896095831</v>
      </c>
    </row>
    <row r="32" spans="1:6" x14ac:dyDescent="0.3">
      <c r="A32" s="2" t="s">
        <v>58</v>
      </c>
      <c r="B32" s="6">
        <v>5.4198705178942381</v>
      </c>
      <c r="D32" s="2" t="s">
        <v>58</v>
      </c>
      <c r="E32" s="6">
        <v>3.0231261913049465</v>
      </c>
    </row>
    <row r="37" spans="1:11" x14ac:dyDescent="0.3">
      <c r="D37" s="16" t="s">
        <v>65</v>
      </c>
      <c r="E37" s="17" t="s">
        <v>84</v>
      </c>
      <c r="F37" s="18"/>
      <c r="G37" s="18"/>
      <c r="H37" s="26"/>
      <c r="I37" s="26"/>
      <c r="J37" s="26"/>
      <c r="K37" s="27"/>
    </row>
    <row r="40" spans="1:11" x14ac:dyDescent="0.3">
      <c r="A40" s="4" t="s">
        <v>86</v>
      </c>
      <c r="B40" s="4" t="s">
        <v>85</v>
      </c>
      <c r="C40" s="4"/>
      <c r="D40" s="4"/>
      <c r="E40" s="7">
        <f>ABS((D13-D2)/D2)</f>
        <v>1.9894778725850062E-2</v>
      </c>
    </row>
    <row r="43" spans="1:11" x14ac:dyDescent="0.3">
      <c r="B43" s="9" t="s">
        <v>56</v>
      </c>
      <c r="C43" s="9"/>
      <c r="D43" s="9" t="s">
        <v>87</v>
      </c>
    </row>
    <row r="44" spans="1:11" x14ac:dyDescent="0.3">
      <c r="B44" t="s">
        <v>3</v>
      </c>
      <c r="D44" s="3">
        <f>ABS((H13-H2)/H2)</f>
        <v>0.1206451612903225</v>
      </c>
    </row>
    <row r="45" spans="1:11" x14ac:dyDescent="0.3">
      <c r="B45" t="s">
        <v>4</v>
      </c>
      <c r="D45" s="3">
        <f>ABS((I13-I2)/I2)</f>
        <v>2.3245214220601614E-2</v>
      </c>
      <c r="F45" s="4" t="s">
        <v>65</v>
      </c>
    </row>
    <row r="46" spans="1:11" x14ac:dyDescent="0.3">
      <c r="B46" t="s">
        <v>5</v>
      </c>
      <c r="D46" s="3">
        <f>ABS((J13-J2)/J2)</f>
        <v>1.4051522248243426E-2</v>
      </c>
      <c r="F46" s="28" t="s">
        <v>88</v>
      </c>
      <c r="G46" s="14"/>
      <c r="H46" s="14"/>
      <c r="I46" s="14"/>
      <c r="J46" s="14"/>
      <c r="K46" s="15"/>
    </row>
    <row r="47" spans="1:11" x14ac:dyDescent="0.3">
      <c r="B47" t="s">
        <v>6</v>
      </c>
      <c r="D47" s="3">
        <f>ABS((K13-K2)/K2)</f>
        <v>8.2629674306393175E-2</v>
      </c>
    </row>
    <row r="48" spans="1:11" x14ac:dyDescent="0.3">
      <c r="B48" t="s">
        <v>7</v>
      </c>
      <c r="D48" s="3">
        <f>ABS((L13-L2)/L2)</f>
        <v>0.15380786460925835</v>
      </c>
    </row>
    <row r="49" spans="1:4" x14ac:dyDescent="0.3">
      <c r="B49" t="s">
        <v>8</v>
      </c>
      <c r="D49" s="3">
        <f>ABS((M13-M2)/M2)</f>
        <v>1.4731879787860933E-2</v>
      </c>
    </row>
    <row r="50" spans="1:4" x14ac:dyDescent="0.3">
      <c r="B50" t="s">
        <v>9</v>
      </c>
      <c r="D50" s="3">
        <f>ABS((N13-N2)/N2)</f>
        <v>0.11684037301151953</v>
      </c>
    </row>
    <row r="51" spans="1:4" x14ac:dyDescent="0.3">
      <c r="B51" t="s">
        <v>10</v>
      </c>
      <c r="D51" s="3">
        <f>ABS((O13-O2)/O2)</f>
        <v>6.8776628119293873E-2</v>
      </c>
    </row>
    <row r="52" spans="1:4" x14ac:dyDescent="0.3">
      <c r="B52" t="s">
        <v>11</v>
      </c>
      <c r="D52" s="3">
        <f>ABS((P13-P2)/P2)</f>
        <v>2.3352793994995805E-2</v>
      </c>
    </row>
    <row r="53" spans="1:4" x14ac:dyDescent="0.3">
      <c r="B53" t="s">
        <v>12</v>
      </c>
      <c r="D53" s="3">
        <f>ABS((Q13-Q2)/Q2)</f>
        <v>0.16515232495991453</v>
      </c>
    </row>
    <row r="54" spans="1:4" x14ac:dyDescent="0.3">
      <c r="B54" t="s">
        <v>13</v>
      </c>
      <c r="D54" s="3">
        <f>ABS((R13-R2)/R2)</f>
        <v>3.2757593805836809E-2</v>
      </c>
    </row>
    <row r="55" spans="1:4" x14ac:dyDescent="0.3">
      <c r="B55" t="s">
        <v>14</v>
      </c>
      <c r="D55" s="3">
        <f>ABS((S13-S2)/S2)</f>
        <v>5.6008700380641561E-2</v>
      </c>
    </row>
    <row r="56" spans="1:4" x14ac:dyDescent="0.3">
      <c r="B56" s="8" t="s">
        <v>15</v>
      </c>
      <c r="C56" s="8"/>
      <c r="D56" s="10">
        <f>ABS((T13-T2)/T2)</f>
        <v>2.4013722126929607E-2</v>
      </c>
    </row>
    <row r="61" spans="1:4" x14ac:dyDescent="0.3">
      <c r="A61" s="1" t="s">
        <v>102</v>
      </c>
      <c r="B61" t="s">
        <v>101</v>
      </c>
    </row>
    <row r="62" spans="1:4" x14ac:dyDescent="0.3">
      <c r="A62" s="2">
        <v>2022</v>
      </c>
      <c r="B62" s="5">
        <v>1227.3692307692306</v>
      </c>
    </row>
    <row r="63" spans="1:4" x14ac:dyDescent="0.3">
      <c r="A63" s="13" t="s">
        <v>39</v>
      </c>
      <c r="B63" s="5">
        <v>173.99230769230769</v>
      </c>
    </row>
    <row r="64" spans="1:4" x14ac:dyDescent="0.3">
      <c r="A64" s="13" t="s">
        <v>40</v>
      </c>
      <c r="B64" s="5">
        <v>174.33076923076925</v>
      </c>
    </row>
    <row r="65" spans="1:2" x14ac:dyDescent="0.3">
      <c r="A65" s="13" t="s">
        <v>41</v>
      </c>
      <c r="B65" s="5">
        <v>174.55384615384617</v>
      </c>
    </row>
    <row r="66" spans="1:2" x14ac:dyDescent="0.3">
      <c r="A66" s="13" t="s">
        <v>42</v>
      </c>
      <c r="B66" s="5">
        <v>175.45384615384617</v>
      </c>
    </row>
    <row r="67" spans="1:2" x14ac:dyDescent="0.3">
      <c r="A67" s="13" t="s">
        <v>43</v>
      </c>
      <c r="B67" s="5">
        <v>176.71538461538464</v>
      </c>
    </row>
    <row r="68" spans="1:2" x14ac:dyDescent="0.3">
      <c r="A68" s="13" t="s">
        <v>45</v>
      </c>
      <c r="B68" s="5">
        <v>176.67692307692309</v>
      </c>
    </row>
    <row r="69" spans="1:2" x14ac:dyDescent="0.3">
      <c r="A69" s="13" t="s">
        <v>46</v>
      </c>
      <c r="B69" s="5">
        <v>175.64615384615385</v>
      </c>
    </row>
    <row r="70" spans="1:2" x14ac:dyDescent="0.3">
      <c r="A70" s="2">
        <v>2023</v>
      </c>
      <c r="B70" s="5">
        <v>880.57692307692309</v>
      </c>
    </row>
    <row r="71" spans="1:2" x14ac:dyDescent="0.3">
      <c r="A71" s="13" t="s">
        <v>31</v>
      </c>
      <c r="B71" s="5">
        <v>176.36153846153846</v>
      </c>
    </row>
    <row r="72" spans="1:2" x14ac:dyDescent="0.3">
      <c r="A72" s="13" t="s">
        <v>35</v>
      </c>
      <c r="B72" s="5">
        <v>175.3153846153846</v>
      </c>
    </row>
    <row r="73" spans="1:2" x14ac:dyDescent="0.3">
      <c r="A73" s="13" t="s">
        <v>36</v>
      </c>
      <c r="B73" s="5">
        <v>175.32307692307691</v>
      </c>
    </row>
    <row r="74" spans="1:2" x14ac:dyDescent="0.3">
      <c r="A74" s="13" t="s">
        <v>37</v>
      </c>
      <c r="B74" s="5">
        <v>176.12307692307695</v>
      </c>
    </row>
    <row r="75" spans="1:2" x14ac:dyDescent="0.3">
      <c r="A75" s="13" t="s">
        <v>38</v>
      </c>
      <c r="B75" s="5">
        <v>177.45384615384617</v>
      </c>
    </row>
    <row r="76" spans="1:2" x14ac:dyDescent="0.3">
      <c r="A76" s="2" t="s">
        <v>58</v>
      </c>
      <c r="B76" s="5">
        <v>2107.9461538461537</v>
      </c>
    </row>
  </sheetData>
  <conditionalFormatting pivot="1" sqref="E20:E31">
    <cfRule type="top10" dxfId="6" priority="3" rank="1"/>
  </conditionalFormatting>
  <conditionalFormatting pivot="1" sqref="E20:E31">
    <cfRule type="top10" dxfId="5" priority="2" bottom="1" rank="1"/>
  </conditionalFormatting>
  <conditionalFormatting sqref="D44:D56">
    <cfRule type="top10" dxfId="4" priority="1" rank="1"/>
  </conditionalFormatting>
  <pageMargins left="0.7" right="0.7" top="0.75" bottom="0.75" header="0.3" footer="0.3"/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17DE8-500B-4B47-A11D-77FC63CF20EC}">
  <dimension ref="A1:N18"/>
  <sheetViews>
    <sheetView workbookViewId="0">
      <selection activeCell="S21" sqref="S21"/>
    </sheetView>
  </sheetViews>
  <sheetFormatPr defaultRowHeight="14.4" x14ac:dyDescent="0.3"/>
  <cols>
    <col min="4" max="4" width="12" bestFit="1" customWidth="1"/>
    <col min="9" max="9" width="21.88671875" bestFit="1" customWidth="1"/>
    <col min="13" max="13" width="12.44140625" bestFit="1" customWidth="1"/>
    <col min="14" max="14" width="16.554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29</v>
      </c>
      <c r="H1" t="s">
        <v>94</v>
      </c>
      <c r="I1" s="3" t="s">
        <v>100</v>
      </c>
    </row>
    <row r="2" spans="1:14" x14ac:dyDescent="0.3">
      <c r="A2" t="s">
        <v>34</v>
      </c>
      <c r="B2">
        <v>2017</v>
      </c>
      <c r="C2" t="s">
        <v>31</v>
      </c>
      <c r="D2">
        <v>130.30000000000001</v>
      </c>
      <c r="H2">
        <v>2017</v>
      </c>
      <c r="I2" s="3">
        <f>(D3-D2)/D2</f>
        <v>5.295471987720627E-2</v>
      </c>
    </row>
    <row r="3" spans="1:14" x14ac:dyDescent="0.3">
      <c r="A3" t="s">
        <v>34</v>
      </c>
      <c r="B3">
        <v>2017</v>
      </c>
      <c r="C3" t="s">
        <v>46</v>
      </c>
      <c r="D3">
        <v>137.19999999999999</v>
      </c>
      <c r="H3">
        <v>2018</v>
      </c>
      <c r="I3" s="3">
        <f>(D5-D4)/D4</f>
        <v>2.3374726077428697E-2</v>
      </c>
      <c r="M3" s="1" t="s">
        <v>96</v>
      </c>
      <c r="N3" t="s">
        <v>95</v>
      </c>
    </row>
    <row r="4" spans="1:14" x14ac:dyDescent="0.3">
      <c r="A4" t="s">
        <v>34</v>
      </c>
      <c r="B4">
        <v>2018</v>
      </c>
      <c r="C4" t="s">
        <v>31</v>
      </c>
      <c r="D4">
        <v>136.9</v>
      </c>
      <c r="H4">
        <v>2019</v>
      </c>
      <c r="I4" s="3">
        <f>(D7-D6)/D6</f>
        <v>7.7363896848137617E-2</v>
      </c>
      <c r="M4" s="2">
        <v>2017</v>
      </c>
      <c r="N4" s="3">
        <v>5.295471987720627E-2</v>
      </c>
    </row>
    <row r="5" spans="1:14" x14ac:dyDescent="0.3">
      <c r="A5" t="s">
        <v>34</v>
      </c>
      <c r="B5">
        <v>2018</v>
      </c>
      <c r="C5" t="s">
        <v>46</v>
      </c>
      <c r="D5">
        <v>140.1</v>
      </c>
      <c r="H5">
        <v>2020</v>
      </c>
      <c r="I5" s="3">
        <f>(D9-D8)/D8</f>
        <v>5.7922769640479481E-2</v>
      </c>
      <c r="M5" s="2">
        <v>2018</v>
      </c>
      <c r="N5" s="3">
        <v>2.3374726077428697E-2</v>
      </c>
    </row>
    <row r="6" spans="1:14" x14ac:dyDescent="0.3">
      <c r="A6" t="s">
        <v>34</v>
      </c>
      <c r="B6">
        <v>2019</v>
      </c>
      <c r="C6" t="s">
        <v>31</v>
      </c>
      <c r="D6">
        <v>139.6</v>
      </c>
      <c r="H6">
        <v>2021</v>
      </c>
      <c r="I6" s="3">
        <f>(D11-D10)/D10</f>
        <v>5.657978385251098E-2</v>
      </c>
      <c r="M6" s="2">
        <v>2019</v>
      </c>
      <c r="N6" s="3">
        <v>7.7363896848137617E-2</v>
      </c>
    </row>
    <row r="7" spans="1:14" x14ac:dyDescent="0.3">
      <c r="A7" t="s">
        <v>34</v>
      </c>
      <c r="B7">
        <v>2019</v>
      </c>
      <c r="C7" t="s">
        <v>46</v>
      </c>
      <c r="D7">
        <v>150.4</v>
      </c>
      <c r="H7">
        <v>2022</v>
      </c>
      <c r="I7" s="3">
        <f>(D13-D12)/D12</f>
        <v>6.0350030175015092E-2</v>
      </c>
      <c r="M7" s="2">
        <v>2020</v>
      </c>
      <c r="N7" s="3">
        <v>5.7922769640479481E-2</v>
      </c>
    </row>
    <row r="8" spans="1:14" x14ac:dyDescent="0.3">
      <c r="A8" t="s">
        <v>34</v>
      </c>
      <c r="B8">
        <v>2020</v>
      </c>
      <c r="C8" t="s">
        <v>31</v>
      </c>
      <c r="D8">
        <v>150.19999999999999</v>
      </c>
      <c r="M8" s="2">
        <v>2021</v>
      </c>
      <c r="N8" s="3">
        <v>5.657978385251098E-2</v>
      </c>
    </row>
    <row r="9" spans="1:14" x14ac:dyDescent="0.3">
      <c r="A9" t="s">
        <v>34</v>
      </c>
      <c r="B9">
        <v>2020</v>
      </c>
      <c r="C9" t="s">
        <v>46</v>
      </c>
      <c r="D9">
        <v>158.9</v>
      </c>
      <c r="M9" s="2">
        <v>2022</v>
      </c>
      <c r="N9" s="3">
        <v>6.0350030175015092E-2</v>
      </c>
    </row>
    <row r="10" spans="1:14" x14ac:dyDescent="0.3">
      <c r="A10" t="s">
        <v>34</v>
      </c>
      <c r="B10">
        <v>2021</v>
      </c>
      <c r="C10" t="s">
        <v>31</v>
      </c>
      <c r="D10">
        <v>157.30000000000001</v>
      </c>
      <c r="M10" s="2" t="s">
        <v>58</v>
      </c>
      <c r="N10" s="3">
        <v>0.32854592647077818</v>
      </c>
    </row>
    <row r="11" spans="1:14" x14ac:dyDescent="0.3">
      <c r="A11" t="s">
        <v>34</v>
      </c>
      <c r="B11">
        <v>2021</v>
      </c>
      <c r="C11" t="s">
        <v>46</v>
      </c>
      <c r="D11">
        <v>166.2</v>
      </c>
    </row>
    <row r="12" spans="1:14" x14ac:dyDescent="0.3">
      <c r="A12" t="s">
        <v>34</v>
      </c>
      <c r="B12">
        <v>2022</v>
      </c>
      <c r="C12" t="s">
        <v>31</v>
      </c>
      <c r="D12">
        <v>165.7</v>
      </c>
    </row>
    <row r="13" spans="1:14" x14ac:dyDescent="0.3">
      <c r="A13" t="s">
        <v>34</v>
      </c>
      <c r="B13">
        <v>2022</v>
      </c>
      <c r="C13" t="s">
        <v>46</v>
      </c>
      <c r="D13">
        <v>175.7</v>
      </c>
    </row>
    <row r="14" spans="1:14" x14ac:dyDescent="0.3">
      <c r="A14" t="s">
        <v>34</v>
      </c>
      <c r="B14">
        <v>2023</v>
      </c>
      <c r="C14" t="s">
        <v>31</v>
      </c>
      <c r="D14">
        <v>176.5</v>
      </c>
    </row>
    <row r="16" spans="1:14" x14ac:dyDescent="0.3">
      <c r="A16" s="11" t="s">
        <v>89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9" x14ac:dyDescent="0.3">
      <c r="A17" s="20" t="s">
        <v>97</v>
      </c>
      <c r="B17" s="21" t="s">
        <v>98</v>
      </c>
      <c r="C17" s="21"/>
      <c r="D17" s="21"/>
      <c r="E17" s="21"/>
      <c r="F17" s="21"/>
      <c r="G17" s="21"/>
      <c r="H17" s="21"/>
      <c r="I17" s="22"/>
    </row>
    <row r="18" spans="1:9" x14ac:dyDescent="0.3">
      <c r="A18" s="23"/>
      <c r="B18" s="24" t="s">
        <v>99</v>
      </c>
      <c r="C18" s="24"/>
      <c r="D18" s="24"/>
      <c r="E18" s="24"/>
      <c r="F18" s="24"/>
      <c r="G18" s="24"/>
      <c r="H18" s="24"/>
      <c r="I18" s="25"/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DAEA8-C2B8-4DD9-9A87-B06C5C1239F6}">
  <dimension ref="A1:O27"/>
  <sheetViews>
    <sheetView topLeftCell="B1" zoomScaleNormal="100" workbookViewId="0">
      <selection activeCell="M26" sqref="M26"/>
    </sheetView>
  </sheetViews>
  <sheetFormatPr defaultRowHeight="14.4" x14ac:dyDescent="0.3"/>
  <cols>
    <col min="1" max="1" width="30.77734375" bestFit="1" customWidth="1"/>
    <col min="2" max="3" width="6" bestFit="1" customWidth="1"/>
    <col min="4" max="4" width="11.109375" bestFit="1" customWidth="1"/>
    <col min="5" max="5" width="25.109375" bestFit="1" customWidth="1"/>
    <col min="8" max="8" width="25.109375" bestFit="1" customWidth="1"/>
    <col min="9" max="9" width="12.88671875" bestFit="1" customWidth="1"/>
    <col min="11" max="11" width="25.109375" bestFit="1" customWidth="1"/>
    <col min="12" max="12" width="8.109375" bestFit="1" customWidth="1"/>
    <col min="14" max="14" width="25.109375" bestFit="1" customWidth="1"/>
    <col min="15" max="15" width="12.88671875" bestFit="1" customWidth="1"/>
  </cols>
  <sheetData>
    <row r="1" spans="1:15" x14ac:dyDescent="0.3">
      <c r="A1" t="s">
        <v>0</v>
      </c>
      <c r="B1" t="s">
        <v>30</v>
      </c>
      <c r="C1" t="s">
        <v>33</v>
      </c>
      <c r="D1" t="s">
        <v>34</v>
      </c>
      <c r="E1" t="s">
        <v>56</v>
      </c>
    </row>
    <row r="2" spans="1:15" x14ac:dyDescent="0.3">
      <c r="A2" t="s">
        <v>3</v>
      </c>
      <c r="B2">
        <v>173.2</v>
      </c>
      <c r="C2">
        <v>174.7</v>
      </c>
      <c r="D2">
        <v>173.7</v>
      </c>
      <c r="E2" t="str">
        <f>VLOOKUP(A2,'Broader Category'!A2:B27,2,FALSE)</f>
        <v>Food and Beverages</v>
      </c>
      <c r="H2" s="1" t="s">
        <v>57</v>
      </c>
      <c r="I2" t="s">
        <v>59</v>
      </c>
      <c r="K2" s="1" t="s">
        <v>57</v>
      </c>
      <c r="L2" t="s">
        <v>60</v>
      </c>
      <c r="N2" s="1" t="s">
        <v>93</v>
      </c>
      <c r="O2" t="s">
        <v>61</v>
      </c>
    </row>
    <row r="3" spans="1:15" x14ac:dyDescent="0.3">
      <c r="A3" t="s">
        <v>4</v>
      </c>
      <c r="B3">
        <v>211.5</v>
      </c>
      <c r="C3">
        <v>219.4</v>
      </c>
      <c r="D3">
        <v>214.3</v>
      </c>
      <c r="E3" t="str">
        <f>VLOOKUP(A3,'Broader Category'!A3:B28,2,FALSE)</f>
        <v>Food and Beverages</v>
      </c>
      <c r="H3" s="2" t="s">
        <v>50</v>
      </c>
      <c r="I3" s="3">
        <v>0.50918022583800127</v>
      </c>
      <c r="K3" s="2" t="s">
        <v>51</v>
      </c>
      <c r="L3" s="3">
        <v>0.1139218686030727</v>
      </c>
      <c r="N3" s="2" t="s">
        <v>50</v>
      </c>
      <c r="O3" s="3">
        <v>0.49563853557923693</v>
      </c>
    </row>
    <row r="4" spans="1:15" x14ac:dyDescent="0.3">
      <c r="A4" t="s">
        <v>5</v>
      </c>
      <c r="B4">
        <v>171</v>
      </c>
      <c r="C4">
        <v>176.7</v>
      </c>
      <c r="D4">
        <v>173.2</v>
      </c>
      <c r="E4" t="str">
        <f>VLOOKUP(A4,'Broader Category'!A4:B29,2,FALSE)</f>
        <v>Food and Beverages</v>
      </c>
      <c r="H4" s="2" t="s">
        <v>51</v>
      </c>
      <c r="I4" s="3">
        <v>0.12667822530452563</v>
      </c>
      <c r="K4" s="2" t="s">
        <v>26</v>
      </c>
      <c r="L4" s="3">
        <v>3.766510806093646E-2</v>
      </c>
      <c r="N4" s="2" t="s">
        <v>51</v>
      </c>
      <c r="O4" s="3">
        <v>0.11885527672739775</v>
      </c>
    </row>
    <row r="5" spans="1:15" x14ac:dyDescent="0.3">
      <c r="A5" t="s">
        <v>6</v>
      </c>
      <c r="B5">
        <v>179.6</v>
      </c>
      <c r="C5">
        <v>179.4</v>
      </c>
      <c r="D5">
        <v>179.5</v>
      </c>
      <c r="E5" t="str">
        <f>VLOOKUP(A5,'Broader Category'!A5:B30,2,FALSE)</f>
        <v>Food and Beverages</v>
      </c>
      <c r="H5" s="2" t="s">
        <v>55</v>
      </c>
      <c r="I5" s="3">
        <v>7.9732373077265037E-2</v>
      </c>
      <c r="K5" s="2" t="s">
        <v>16</v>
      </c>
      <c r="L5" s="3">
        <v>4.4000086190178631E-2</v>
      </c>
      <c r="N5" s="2" t="s">
        <v>55</v>
      </c>
      <c r="O5" s="3">
        <v>7.6572705397043653E-2</v>
      </c>
    </row>
    <row r="6" spans="1:15" x14ac:dyDescent="0.3">
      <c r="A6" t="s">
        <v>7</v>
      </c>
      <c r="B6">
        <v>173.3</v>
      </c>
      <c r="C6">
        <v>164.4</v>
      </c>
      <c r="D6">
        <v>170</v>
      </c>
      <c r="E6" t="str">
        <f>VLOOKUP(A6,'Broader Category'!A6:B31,2,FALSE)</f>
        <v>Food and Beverages</v>
      </c>
      <c r="H6" s="2" t="s">
        <v>16</v>
      </c>
      <c r="I6" s="3">
        <v>4.4434071307904319E-2</v>
      </c>
      <c r="K6" s="2" t="s">
        <v>53</v>
      </c>
      <c r="L6" s="3">
        <v>3.9518196901463083E-2</v>
      </c>
      <c r="N6" s="2" t="s">
        <v>52</v>
      </c>
      <c r="O6" s="3">
        <v>7.5369542798212438E-2</v>
      </c>
    </row>
    <row r="7" spans="1:15" x14ac:dyDescent="0.3">
      <c r="A7" t="s">
        <v>8</v>
      </c>
      <c r="B7">
        <v>169</v>
      </c>
      <c r="C7">
        <v>175.8</v>
      </c>
      <c r="D7">
        <v>172.2</v>
      </c>
      <c r="E7" t="str">
        <f>VLOOKUP(A7,'Broader Category'!A7:B32,2,FALSE)</f>
        <v>Food and Beverages</v>
      </c>
      <c r="H7" s="2" t="s">
        <v>23</v>
      </c>
      <c r="I7" s="3">
        <v>4.174446519071752E-2</v>
      </c>
      <c r="K7" s="2" t="s">
        <v>50</v>
      </c>
      <c r="L7" s="3">
        <v>0.50315671529229244</v>
      </c>
      <c r="N7" s="2" t="s">
        <v>16</v>
      </c>
      <c r="O7" s="3">
        <v>4.3184943279477486E-2</v>
      </c>
    </row>
    <row r="8" spans="1:15" x14ac:dyDescent="0.3">
      <c r="A8" t="s">
        <v>9</v>
      </c>
      <c r="B8">
        <v>148.69999999999999</v>
      </c>
      <c r="C8">
        <v>185</v>
      </c>
      <c r="D8">
        <v>161</v>
      </c>
      <c r="E8" t="str">
        <f>VLOOKUP(A8,'Broader Category'!A8:B33,2,FALSE)</f>
        <v>Food and Beverages</v>
      </c>
      <c r="H8" s="2" t="s">
        <v>53</v>
      </c>
      <c r="I8" s="3">
        <v>4.0566373255090236E-2</v>
      </c>
      <c r="K8" s="2" t="s">
        <v>23</v>
      </c>
      <c r="L8" s="3">
        <v>3.9259626365575645E-2</v>
      </c>
      <c r="N8" s="2" t="s">
        <v>23</v>
      </c>
      <c r="O8" s="3">
        <v>3.9897731179099345E-2</v>
      </c>
    </row>
    <row r="9" spans="1:15" x14ac:dyDescent="0.3">
      <c r="A9" t="s">
        <v>10</v>
      </c>
      <c r="B9">
        <v>174.9</v>
      </c>
      <c r="C9">
        <v>176.9</v>
      </c>
      <c r="D9">
        <v>175.6</v>
      </c>
      <c r="E9" t="str">
        <f>VLOOKUP(A9,'Broader Category'!A9:B34,2,FALSE)</f>
        <v>Food and Beverages</v>
      </c>
      <c r="H9" s="2" t="s">
        <v>26</v>
      </c>
      <c r="I9" s="3">
        <v>4.0077353961056272E-2</v>
      </c>
      <c r="K9" s="2" t="s">
        <v>52</v>
      </c>
      <c r="L9" s="3">
        <v>7.4489861880238747E-2</v>
      </c>
      <c r="N9" s="2" t="s">
        <v>53</v>
      </c>
      <c r="O9" s="3">
        <v>3.9274664833276046E-2</v>
      </c>
    </row>
    <row r="10" spans="1:15" x14ac:dyDescent="0.3">
      <c r="A10" t="s">
        <v>11</v>
      </c>
      <c r="B10">
        <v>121.9</v>
      </c>
      <c r="C10">
        <v>124.2</v>
      </c>
      <c r="D10">
        <v>122.7</v>
      </c>
      <c r="E10" t="str">
        <f>VLOOKUP(A10,'Broader Category'!A10:B35,2,FALSE)</f>
        <v>Food and Beverages</v>
      </c>
      <c r="H10" s="2" t="s">
        <v>52</v>
      </c>
      <c r="I10" s="3">
        <v>3.9966213212412192E-2</v>
      </c>
      <c r="K10" s="2" t="s">
        <v>28</v>
      </c>
      <c r="L10" s="3">
        <v>3.6975586631903298E-2</v>
      </c>
      <c r="N10" s="2" t="s">
        <v>26</v>
      </c>
      <c r="O10" s="3">
        <v>3.8050017188037126E-2</v>
      </c>
    </row>
    <row r="11" spans="1:15" x14ac:dyDescent="0.3">
      <c r="A11" t="s">
        <v>12</v>
      </c>
      <c r="B11">
        <v>221</v>
      </c>
      <c r="C11">
        <v>211.9</v>
      </c>
      <c r="D11">
        <v>218</v>
      </c>
      <c r="E11" t="str">
        <f>VLOOKUP(A11,'Broader Category'!A11:B36,2,FALSE)</f>
        <v>Food and Beverages</v>
      </c>
      <c r="H11" s="2" t="s">
        <v>28</v>
      </c>
      <c r="I11" s="3">
        <v>3.9899528763225736E-2</v>
      </c>
      <c r="K11" s="2" t="s">
        <v>55</v>
      </c>
      <c r="L11" s="3">
        <v>7.6450688444051798E-2</v>
      </c>
      <c r="N11" s="2" t="s">
        <v>28</v>
      </c>
      <c r="O11" s="3">
        <v>3.7749226538329322E-2</v>
      </c>
    </row>
    <row r="12" spans="1:15" x14ac:dyDescent="0.3">
      <c r="A12" t="s">
        <v>13</v>
      </c>
      <c r="B12">
        <v>178.7</v>
      </c>
      <c r="C12">
        <v>165.9</v>
      </c>
      <c r="D12">
        <v>173.4</v>
      </c>
      <c r="E12" t="str">
        <f>VLOOKUP(A12,'Broader Category'!A12:B37,2,FALSE)</f>
        <v>Food and Beverages</v>
      </c>
      <c r="H12" s="2" t="s">
        <v>54</v>
      </c>
      <c r="I12" s="3">
        <v>3.7721170089801713E-2</v>
      </c>
      <c r="K12" s="2" t="s">
        <v>54</v>
      </c>
      <c r="L12" s="3">
        <v>3.4562261630287236E-2</v>
      </c>
      <c r="N12" s="2" t="s">
        <v>54</v>
      </c>
      <c r="O12" s="3">
        <v>3.5407356479890004E-2</v>
      </c>
    </row>
    <row r="13" spans="1:15" x14ac:dyDescent="0.3">
      <c r="A13" t="s">
        <v>14</v>
      </c>
      <c r="B13">
        <v>191.1</v>
      </c>
      <c r="C13">
        <v>197.7</v>
      </c>
      <c r="D13">
        <v>194.2</v>
      </c>
      <c r="E13" t="str">
        <f>VLOOKUP(A13,'Broader Category'!A13:B38,2,FALSE)</f>
        <v>Food and Beverages</v>
      </c>
      <c r="H13" s="2" t="s">
        <v>58</v>
      </c>
      <c r="I13" s="3">
        <v>1</v>
      </c>
      <c r="K13" s="2" t="s">
        <v>58</v>
      </c>
      <c r="L13" s="3">
        <v>1</v>
      </c>
      <c r="N13" s="2" t="s">
        <v>58</v>
      </c>
      <c r="O13" s="3">
        <v>1</v>
      </c>
    </row>
    <row r="14" spans="1:15" x14ac:dyDescent="0.3">
      <c r="A14" t="s">
        <v>15</v>
      </c>
      <c r="B14">
        <v>176.8</v>
      </c>
      <c r="C14">
        <v>183.1</v>
      </c>
      <c r="D14">
        <v>179.1</v>
      </c>
      <c r="E14" t="str">
        <f>VLOOKUP(A14,'Broader Category'!A14:B39,2,FALSE)</f>
        <v>Food and Beverages</v>
      </c>
    </row>
    <row r="15" spans="1:15" x14ac:dyDescent="0.3">
      <c r="A15" t="s">
        <v>16</v>
      </c>
      <c r="B15">
        <v>199.9</v>
      </c>
      <c r="C15">
        <v>204.2</v>
      </c>
      <c r="D15">
        <v>201</v>
      </c>
      <c r="E15" t="str">
        <f>VLOOKUP(A15,'Broader Category'!A15:B40,2,FALSE)</f>
        <v>Pan, tobacco and intoxicants</v>
      </c>
    </row>
    <row r="16" spans="1:15" x14ac:dyDescent="0.3">
      <c r="A16" t="s">
        <v>17</v>
      </c>
      <c r="B16">
        <v>191.2</v>
      </c>
      <c r="C16">
        <v>181.3</v>
      </c>
      <c r="D16">
        <v>187.3</v>
      </c>
      <c r="E16" t="str">
        <f>VLOOKUP(A16,'Broader Category'!A16:B41,2,FALSE)</f>
        <v>Clothing and Footwear</v>
      </c>
    </row>
    <row r="17" spans="1:11" x14ac:dyDescent="0.3">
      <c r="A17" t="s">
        <v>18</v>
      </c>
      <c r="B17">
        <v>187.9</v>
      </c>
      <c r="C17">
        <v>168.1</v>
      </c>
      <c r="D17">
        <v>179.7</v>
      </c>
      <c r="E17" t="str">
        <f>VLOOKUP(A17,'Broader Category'!A17:B42,2,FALSE)</f>
        <v>Clothing and Footwear</v>
      </c>
      <c r="G17" s="16" t="s">
        <v>62</v>
      </c>
      <c r="H17" s="17" t="s">
        <v>63</v>
      </c>
      <c r="I17" s="18"/>
      <c r="J17" s="18"/>
      <c r="K17" s="18"/>
    </row>
    <row r="18" spans="1:11" x14ac:dyDescent="0.3">
      <c r="A18" t="s">
        <v>19</v>
      </c>
      <c r="B18">
        <v>190.8</v>
      </c>
      <c r="C18">
        <v>179.3</v>
      </c>
      <c r="D18">
        <v>186.2</v>
      </c>
      <c r="E18" t="str">
        <f>VLOOKUP(A18,'Broader Category'!A18:B43,2,FALSE)</f>
        <v>Clothing and Footwear</v>
      </c>
      <c r="G18" s="19"/>
      <c r="H18" s="17" t="s">
        <v>64</v>
      </c>
      <c r="I18" s="18"/>
      <c r="J18" s="18"/>
      <c r="K18" s="18"/>
    </row>
    <row r="19" spans="1:11" x14ac:dyDescent="0.3">
      <c r="A19" t="s">
        <v>20</v>
      </c>
      <c r="B19" t="s">
        <v>48</v>
      </c>
      <c r="C19">
        <v>175.6</v>
      </c>
      <c r="D19">
        <v>175.6</v>
      </c>
      <c r="E19" t="str">
        <f>VLOOKUP(A19,'Broader Category'!A19:B44,2,FALSE)</f>
        <v>Housing and Utilities</v>
      </c>
    </row>
    <row r="20" spans="1:11" x14ac:dyDescent="0.3">
      <c r="A20" t="s">
        <v>21</v>
      </c>
      <c r="B20">
        <v>182.5</v>
      </c>
      <c r="C20">
        <v>183.4</v>
      </c>
      <c r="D20">
        <v>182.8</v>
      </c>
      <c r="E20" t="str">
        <f>VLOOKUP(A20,'Broader Category'!A20:B45,2,FALSE)</f>
        <v>Energy</v>
      </c>
    </row>
    <row r="21" spans="1:11" x14ac:dyDescent="0.3">
      <c r="A21" t="s">
        <v>22</v>
      </c>
      <c r="B21">
        <v>179.8</v>
      </c>
      <c r="C21">
        <v>170.1</v>
      </c>
      <c r="D21">
        <v>175.2</v>
      </c>
      <c r="E21" t="str">
        <f>VLOOKUP(A21,'Broader Category'!A21:B46,2,FALSE)</f>
        <v>Housing and Utilities</v>
      </c>
    </row>
    <row r="22" spans="1:11" x14ac:dyDescent="0.3">
      <c r="A22" t="s">
        <v>23</v>
      </c>
      <c r="B22">
        <v>187.8</v>
      </c>
      <c r="C22">
        <v>182.2</v>
      </c>
      <c r="D22">
        <v>185.7</v>
      </c>
      <c r="E22" t="str">
        <f>VLOOKUP(A22,'Broader Category'!A22:B47,2,FALSE)</f>
        <v>Health</v>
      </c>
    </row>
    <row r="23" spans="1:11" x14ac:dyDescent="0.3">
      <c r="A23" t="s">
        <v>24</v>
      </c>
      <c r="B23">
        <v>169.7</v>
      </c>
      <c r="C23">
        <v>160.4</v>
      </c>
      <c r="D23">
        <v>164.8</v>
      </c>
      <c r="E23" t="str">
        <f>VLOOKUP(A23,'Broader Category'!A23:B48,2,FALSE)</f>
        <v>Transportation</v>
      </c>
    </row>
    <row r="24" spans="1:11" x14ac:dyDescent="0.3">
      <c r="A24" t="s">
        <v>25</v>
      </c>
      <c r="B24">
        <v>173.8</v>
      </c>
      <c r="C24">
        <v>169.2</v>
      </c>
      <c r="D24">
        <v>171.2</v>
      </c>
      <c r="E24" t="str">
        <f>VLOOKUP(A24,'Broader Category'!A24:B49,2,FALSE)</f>
        <v>Recreation and Personal Care</v>
      </c>
    </row>
    <row r="25" spans="1:11" x14ac:dyDescent="0.3">
      <c r="A25" t="s">
        <v>26</v>
      </c>
      <c r="B25">
        <v>180.3</v>
      </c>
      <c r="C25">
        <v>174.8</v>
      </c>
      <c r="D25">
        <v>177.1</v>
      </c>
      <c r="E25" t="str">
        <f>VLOOKUP(A25,'Broader Category'!A25:B50,2,FALSE)</f>
        <v>Education</v>
      </c>
    </row>
    <row r="26" spans="1:11" x14ac:dyDescent="0.3">
      <c r="A26" t="s">
        <v>27</v>
      </c>
      <c r="B26">
        <v>184.9</v>
      </c>
      <c r="C26">
        <v>185.6</v>
      </c>
      <c r="D26">
        <v>185.2</v>
      </c>
      <c r="E26" t="str">
        <f>VLOOKUP(A26,'Broader Category'!A26:B51,2,FALSE)</f>
        <v>Recreation and Personal Care</v>
      </c>
    </row>
    <row r="27" spans="1:11" x14ac:dyDescent="0.3">
      <c r="A27" t="s">
        <v>28</v>
      </c>
      <c r="B27">
        <v>179.5</v>
      </c>
      <c r="C27">
        <v>171.6</v>
      </c>
      <c r="D27">
        <v>175.7</v>
      </c>
      <c r="E27" t="str">
        <f>VLOOKUP(A27,'Broader Category'!A27:B52,2,FALSE)</f>
        <v>Miscellaneous</v>
      </c>
    </row>
  </sheetData>
  <conditionalFormatting sqref="N4">
    <cfRule type="top10" dxfId="3" priority="4" rank="1"/>
  </conditionalFormatting>
  <conditionalFormatting pivot="1" sqref="O3:O12">
    <cfRule type="top10" dxfId="2" priority="3" rank="1"/>
  </conditionalFormatting>
  <conditionalFormatting sqref="J27">
    <cfRule type="top10" dxfId="1" priority="2" rank="1"/>
  </conditionalFormatting>
  <pageMargins left="0.7" right="0.7" top="0.75" bottom="0.75" header="0.3" footer="0.3"/>
  <pageSetup orientation="portrait" r:id="rId4"/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7A3EB1-AD50-4DDE-A7B0-E359C93637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All_India_Index_Upto_April23 (1</vt:lpstr>
      <vt:lpstr>Food Bucket May22-23</vt:lpstr>
      <vt:lpstr>Rural+Urban 2017-23</vt:lpstr>
      <vt:lpstr>Broader Category</vt:lpstr>
      <vt:lpstr>DASHBOARD</vt:lpstr>
      <vt:lpstr>Ans 5(b)</vt:lpstr>
      <vt:lpstr>Ans5(a)</vt:lpstr>
      <vt:lpstr>Ans4</vt:lpstr>
      <vt:lpstr>Ans3</vt:lpstr>
      <vt:lpstr>Ans2</vt:lpstr>
      <vt:lpstr>Ans1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SONALI UTEKAR</dc:creator>
  <cp:lastModifiedBy>a13559</cp:lastModifiedBy>
  <dcterms:created xsi:type="dcterms:W3CDTF">2025-12-28T13:07:16Z</dcterms:created>
  <dcterms:modified xsi:type="dcterms:W3CDTF">2026-02-03T15:06:56Z</dcterms:modified>
</cp:coreProperties>
</file>